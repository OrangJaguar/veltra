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Mon Bureau\Articles en Publication\Article T° chez les Pompiers - Caisson Feu\"/>
    </mc:Choice>
  </mc:AlternateContent>
  <xr:revisionPtr revIDLastSave="0" documentId="13_ncr:1_{D2C67E94-BF46-441E-BE23-B4B5C53BFAB8}" xr6:coauthVersionLast="47" xr6:coauthVersionMax="47" xr10:uidLastSave="{00000000-0000-0000-0000-000000000000}"/>
  <bookViews>
    <workbookView xWindow="-28920" yWindow="-90" windowWidth="29040" windowHeight="17640" activeTab="1" xr2:uid="{02158770-4DF8-4B0D-9D1D-E40C2EE53C4F}"/>
  </bookViews>
  <sheets>
    <sheet name="All Data " sheetId="1" r:id="rId1"/>
    <sheet name="Results" sheetId="15" r:id="rId2"/>
    <sheet name="Table 1" sheetId="4" r:id="rId3"/>
    <sheet name="Table 2 - Body Mass % Hydro" sheetId="6" r:id="rId4"/>
    <sheet name="T° Day Off &amp; Cosonor" sheetId="17" r:id="rId5"/>
    <sheet name="AM PM Tcore" sheetId="10" r:id="rId6"/>
    <sheet name="Core temp from rest to 40 min" sheetId="11" r:id="rId7"/>
    <sheet name="Slope 0-40 min" sheetId="12" r:id="rId8"/>
    <sheet name="Recovery" sheetId="13" r:id="rId9"/>
    <sheet name="Skin T° AM-PM" sheetId="1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7" i="1" l="1"/>
  <c r="Y28" i="1"/>
  <c r="Y29" i="1"/>
  <c r="Y30" i="1"/>
  <c r="Y31" i="1"/>
  <c r="Z29" i="1" l="1"/>
  <c r="Z28" i="1"/>
  <c r="X29" i="1"/>
  <c r="X28" i="1"/>
  <c r="Z27" i="1"/>
  <c r="X27" i="1"/>
  <c r="X31" i="1"/>
  <c r="Z31" i="1"/>
  <c r="Z30" i="1"/>
  <c r="X30" i="1"/>
  <c r="AZ36" i="13" l="1"/>
  <c r="BA36" i="13"/>
  <c r="BB36" i="13"/>
  <c r="BB59" i="13" s="1"/>
  <c r="BC36" i="13"/>
  <c r="AZ37" i="13"/>
  <c r="AZ57" i="13" s="1"/>
  <c r="BA37" i="13"/>
  <c r="BA57" i="13" s="1"/>
  <c r="BB37" i="13"/>
  <c r="BC37" i="13"/>
  <c r="BC57" i="13" s="1"/>
  <c r="BC58" i="13" s="1"/>
  <c r="AZ38" i="13"/>
  <c r="AZ58" i="13" s="1"/>
  <c r="BA38" i="13"/>
  <c r="BB38" i="13"/>
  <c r="BC38" i="13"/>
  <c r="AZ39" i="13"/>
  <c r="BA39" i="13"/>
  <c r="BB39" i="13"/>
  <c r="BC39" i="13"/>
  <c r="AZ40" i="13"/>
  <c r="BA40" i="13"/>
  <c r="BA58" i="13" s="1"/>
  <c r="BB40" i="13"/>
  <c r="BC40" i="13"/>
  <c r="AZ41" i="13"/>
  <c r="BA41" i="13"/>
  <c r="BB41" i="13"/>
  <c r="BC41" i="13"/>
  <c r="AZ42" i="13"/>
  <c r="BA42" i="13"/>
  <c r="BB42" i="13"/>
  <c r="BC42" i="13"/>
  <c r="AZ43" i="13"/>
  <c r="BA43" i="13"/>
  <c r="BB43" i="13"/>
  <c r="BC43" i="13"/>
  <c r="AZ44" i="13"/>
  <c r="BA44" i="13"/>
  <c r="BB44" i="13"/>
  <c r="BC44" i="13"/>
  <c r="AZ45" i="13"/>
  <c r="BA45" i="13"/>
  <c r="BB45" i="13"/>
  <c r="BC45" i="13"/>
  <c r="AZ46" i="13"/>
  <c r="BA46" i="13"/>
  <c r="BB46" i="13"/>
  <c r="BC46" i="13"/>
  <c r="AZ47" i="13"/>
  <c r="AZ59" i="13" s="1"/>
  <c r="BA47" i="13"/>
  <c r="BB47" i="13"/>
  <c r="BC47" i="13"/>
  <c r="AZ48" i="13"/>
  <c r="BA48" i="13"/>
  <c r="BB48" i="13"/>
  <c r="BC48" i="13"/>
  <c r="AZ49" i="13"/>
  <c r="BA49" i="13"/>
  <c r="BB49" i="13"/>
  <c r="BC49" i="13"/>
  <c r="AZ50" i="13"/>
  <c r="BA50" i="13"/>
  <c r="BB50" i="13"/>
  <c r="BC50" i="13"/>
  <c r="AZ51" i="13"/>
  <c r="BA51" i="13"/>
  <c r="BB51" i="13"/>
  <c r="BC51" i="13"/>
  <c r="AZ52" i="13"/>
  <c r="BA52" i="13"/>
  <c r="BB52" i="13"/>
  <c r="BC52" i="13"/>
  <c r="AZ53" i="13"/>
  <c r="BA53" i="13"/>
  <c r="BB53" i="13"/>
  <c r="BC53" i="13"/>
  <c r="AZ54" i="13"/>
  <c r="BA54" i="13"/>
  <c r="BB54" i="13"/>
  <c r="BC54" i="13"/>
  <c r="AZ55" i="13"/>
  <c r="BA55" i="13"/>
  <c r="BB55" i="13"/>
  <c r="BC55" i="13"/>
  <c r="AZ56" i="13"/>
  <c r="BA56" i="13"/>
  <c r="BB56" i="13"/>
  <c r="BC56" i="13"/>
  <c r="BB57" i="13"/>
  <c r="BB58" i="13"/>
  <c r="AG36" i="13"/>
  <c r="AF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AY54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AY55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AY56" i="13"/>
  <c r="AE56" i="13"/>
  <c r="AE55" i="13"/>
  <c r="AE54" i="13"/>
  <c r="AE53" i="13"/>
  <c r="AE52" i="13"/>
  <c r="AE51" i="13"/>
  <c r="AE50" i="13"/>
  <c r="AE49" i="13"/>
  <c r="AE48" i="13"/>
  <c r="AE47" i="13"/>
  <c r="AE46" i="13"/>
  <c r="AE45" i="13"/>
  <c r="AE44" i="13"/>
  <c r="AE43" i="13"/>
  <c r="AE42" i="13"/>
  <c r="AE41" i="13"/>
  <c r="AE40" i="13"/>
  <c r="AE39" i="13"/>
  <c r="AE38" i="13"/>
  <c r="AE37" i="13"/>
  <c r="AE3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AE26" i="13"/>
  <c r="AC26" i="13"/>
  <c r="AE27" i="13"/>
  <c r="AE28" i="13"/>
  <c r="AE29" i="13"/>
  <c r="BK26" i="10"/>
  <c r="BL26" i="10"/>
  <c r="BM26" i="10"/>
  <c r="BN26" i="10"/>
  <c r="BO26" i="10"/>
  <c r="BK27" i="10"/>
  <c r="BL27" i="10"/>
  <c r="BM27" i="10"/>
  <c r="BN27" i="10"/>
  <c r="BO27" i="10"/>
  <c r="BK28" i="10"/>
  <c r="BL28" i="10"/>
  <c r="BM28" i="10"/>
  <c r="BN28" i="10"/>
  <c r="BO28" i="10"/>
  <c r="BK29" i="10"/>
  <c r="BL29" i="10"/>
  <c r="BM29" i="10"/>
  <c r="BN29" i="10"/>
  <c r="BO29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BI53" i="10"/>
  <c r="BJ53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A59" i="13" l="1"/>
  <c r="BC59" i="13"/>
  <c r="AR57" i="10"/>
  <c r="AR58" i="10" s="1"/>
  <c r="AR59" i="10" s="1"/>
  <c r="AV57" i="10"/>
  <c r="AV58" i="10" s="1"/>
  <c r="AV59" i="10" s="1"/>
  <c r="AL57" i="10"/>
  <c r="AW57" i="10"/>
  <c r="AW58" i="10" s="1"/>
  <c r="AW59" i="10" s="1"/>
  <c r="BG57" i="10"/>
  <c r="BG58" i="10" s="1"/>
  <c r="BG59" i="10" s="1"/>
  <c r="AU57" i="10"/>
  <c r="AU58" i="10" s="1"/>
  <c r="AU59" i="10" s="1"/>
  <c r="BJ57" i="10"/>
  <c r="BJ58" i="10" s="1"/>
  <c r="BJ59" i="10" s="1"/>
  <c r="AX57" i="10"/>
  <c r="AX58" i="10" s="1"/>
  <c r="AX59" i="10" s="1"/>
  <c r="H57" i="10"/>
  <c r="H58" i="10" s="1"/>
  <c r="H59" i="10" s="1"/>
  <c r="BI57" i="10"/>
  <c r="AK57" i="10"/>
  <c r="AK58" i="10" s="1"/>
  <c r="AK59" i="10" s="1"/>
  <c r="BC57" i="10"/>
  <c r="BC58" i="10" s="1"/>
  <c r="BF57" i="10"/>
  <c r="BF58" i="10" s="1"/>
  <c r="BF59" i="10" s="1"/>
  <c r="AT57" i="10"/>
  <c r="AT58" i="10" s="1"/>
  <c r="AT59" i="10" s="1"/>
  <c r="AJ57" i="10"/>
  <c r="AJ58" i="10" s="1"/>
  <c r="AJ59" i="10" s="1"/>
  <c r="AM57" i="10"/>
  <c r="AM58" i="10" s="1"/>
  <c r="BE57" i="10"/>
  <c r="BE58" i="10" s="1"/>
  <c r="BD57" i="10"/>
  <c r="BD58" i="10" s="1"/>
  <c r="BD59" i="10" s="1"/>
  <c r="BH57" i="10"/>
  <c r="BH58" i="10" s="1"/>
  <c r="BB57" i="10"/>
  <c r="BB58" i="10" s="1"/>
  <c r="AP57" i="10"/>
  <c r="AS57" i="10"/>
  <c r="AS58" i="10" s="1"/>
  <c r="AS59" i="10" s="1"/>
  <c r="AY57" i="10"/>
  <c r="AY58" i="10" s="1"/>
  <c r="AQ57" i="10"/>
  <c r="AL58" i="10"/>
  <c r="AL59" i="10" s="1"/>
  <c r="BA57" i="10"/>
  <c r="BA58" i="10" s="1"/>
  <c r="AO57" i="10"/>
  <c r="AO58" i="10" s="1"/>
  <c r="BI58" i="10"/>
  <c r="BI59" i="10" s="1"/>
  <c r="AZ57" i="10"/>
  <c r="AZ58" i="10" s="1"/>
  <c r="AN57" i="10"/>
  <c r="AN58" i="10" s="1"/>
  <c r="AN59" i="10" s="1"/>
  <c r="O57" i="10"/>
  <c r="O58" i="10" s="1"/>
  <c r="O59" i="10" s="1"/>
  <c r="N57" i="10"/>
  <c r="N58" i="10" s="1"/>
  <c r="N59" i="10" s="1"/>
  <c r="Y57" i="10"/>
  <c r="Y58" i="10" s="1"/>
  <c r="L57" i="10"/>
  <c r="L58" i="10" s="1"/>
  <c r="L59" i="10" s="1"/>
  <c r="T57" i="10"/>
  <c r="T58" i="10" s="1"/>
  <c r="M57" i="10"/>
  <c r="M58" i="10" s="1"/>
  <c r="M59" i="10" s="1"/>
  <c r="AF57" i="10"/>
  <c r="AF58" i="10" s="1"/>
  <c r="AF59" i="10" s="1"/>
  <c r="AA57" i="10"/>
  <c r="AA58" i="10" s="1"/>
  <c r="AA59" i="10" s="1"/>
  <c r="G57" i="10"/>
  <c r="G58" i="10" s="1"/>
  <c r="Z57" i="10"/>
  <c r="Z58" i="10" s="1"/>
  <c r="Z59" i="10" s="1"/>
  <c r="AD57" i="10"/>
  <c r="AD58" i="10" s="1"/>
  <c r="R57" i="10"/>
  <c r="R58" i="10" s="1"/>
  <c r="F57" i="10"/>
  <c r="F58" i="10" s="1"/>
  <c r="AE57" i="10"/>
  <c r="AE58" i="10" s="1"/>
  <c r="AC57" i="10"/>
  <c r="AC58" i="10" s="1"/>
  <c r="Q57" i="10"/>
  <c r="Q58" i="10" s="1"/>
  <c r="E57" i="10"/>
  <c r="E58" i="10" s="1"/>
  <c r="E59" i="10" s="1"/>
  <c r="S57" i="10"/>
  <c r="S58" i="10" s="1"/>
  <c r="X57" i="10"/>
  <c r="X58" i="10" s="1"/>
  <c r="X59" i="10" s="1"/>
  <c r="AB57" i="10"/>
  <c r="AB58" i="10" s="1"/>
  <c r="AB59" i="10" s="1"/>
  <c r="P57" i="10"/>
  <c r="P58" i="10" s="1"/>
  <c r="P59" i="10" s="1"/>
  <c r="D57" i="10"/>
  <c r="D58" i="10" s="1"/>
  <c r="D59" i="10" s="1"/>
  <c r="AI57" i="10"/>
  <c r="W57" i="10"/>
  <c r="W58" i="10" s="1"/>
  <c r="K57" i="10"/>
  <c r="AH57" i="10"/>
  <c r="AH58" i="10" s="1"/>
  <c r="V57" i="10"/>
  <c r="V58" i="10" s="1"/>
  <c r="J57" i="10"/>
  <c r="J58" i="10" s="1"/>
  <c r="AG57" i="10"/>
  <c r="U57" i="10"/>
  <c r="U58" i="10" s="1"/>
  <c r="I57" i="10"/>
  <c r="I58" i="10" s="1"/>
  <c r="BE59" i="10" l="1"/>
  <c r="BC59" i="10"/>
  <c r="AP58" i="10"/>
  <c r="AP59" i="10" s="1"/>
  <c r="BB59" i="10"/>
  <c r="AM59" i="10"/>
  <c r="AQ58" i="10"/>
  <c r="AQ59" i="10" s="1"/>
  <c r="BH59" i="10"/>
  <c r="AZ59" i="10"/>
  <c r="BA59" i="10"/>
  <c r="AY59" i="10"/>
  <c r="AO59" i="10"/>
  <c r="AE59" i="10"/>
  <c r="Y59" i="10"/>
  <c r="S59" i="10"/>
  <c r="AC59" i="10"/>
  <c r="Q59" i="10"/>
  <c r="T59" i="10"/>
  <c r="AD59" i="10"/>
  <c r="G59" i="10"/>
  <c r="F59" i="10"/>
  <c r="R59" i="10"/>
  <c r="AG58" i="10"/>
  <c r="AG59" i="10" s="1"/>
  <c r="U59" i="10"/>
  <c r="J59" i="10"/>
  <c r="K58" i="10"/>
  <c r="K59" i="10" s="1"/>
  <c r="AH59" i="10"/>
  <c r="V59" i="10"/>
  <c r="AI58" i="10"/>
  <c r="AI59" i="10" s="1"/>
  <c r="W59" i="10"/>
  <c r="I59" i="10"/>
  <c r="T27" i="1" l="1"/>
  <c r="U27" i="1"/>
  <c r="T28" i="1"/>
  <c r="U28" i="1"/>
  <c r="T29" i="1"/>
  <c r="U29" i="1"/>
  <c r="T30" i="1"/>
  <c r="U30" i="1"/>
  <c r="T31" i="1"/>
  <c r="U31" i="1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O56" i="11"/>
  <c r="N56" i="11"/>
  <c r="M56" i="11"/>
  <c r="L56" i="11"/>
  <c r="K56" i="11"/>
  <c r="J56" i="11"/>
  <c r="I56" i="11"/>
  <c r="H56" i="11"/>
  <c r="G56" i="11"/>
  <c r="F56" i="11"/>
  <c r="E56" i="11"/>
  <c r="O55" i="11"/>
  <c r="N55" i="11"/>
  <c r="M55" i="11"/>
  <c r="L55" i="11"/>
  <c r="K55" i="11"/>
  <c r="J55" i="11"/>
  <c r="I55" i="11"/>
  <c r="H55" i="11"/>
  <c r="G55" i="11"/>
  <c r="F55" i="11"/>
  <c r="E55" i="11"/>
  <c r="O54" i="11"/>
  <c r="N54" i="11"/>
  <c r="M54" i="11"/>
  <c r="L54" i="11"/>
  <c r="K54" i="11"/>
  <c r="J54" i="11"/>
  <c r="I54" i="11"/>
  <c r="H54" i="11"/>
  <c r="G54" i="11"/>
  <c r="F54" i="11"/>
  <c r="E54" i="11"/>
  <c r="O53" i="11"/>
  <c r="N53" i="11"/>
  <c r="M53" i="11"/>
  <c r="L53" i="11"/>
  <c r="K53" i="11"/>
  <c r="J53" i="11"/>
  <c r="I53" i="11"/>
  <c r="H53" i="11"/>
  <c r="G53" i="11"/>
  <c r="F53" i="11"/>
  <c r="E53" i="11"/>
  <c r="O52" i="11"/>
  <c r="N52" i="11"/>
  <c r="M52" i="11"/>
  <c r="L52" i="11"/>
  <c r="K52" i="11"/>
  <c r="J52" i="11"/>
  <c r="I52" i="11"/>
  <c r="H52" i="11"/>
  <c r="G52" i="11"/>
  <c r="F52" i="11"/>
  <c r="E52" i="11"/>
  <c r="O51" i="11"/>
  <c r="N51" i="11"/>
  <c r="M51" i="11"/>
  <c r="L51" i="11"/>
  <c r="K51" i="11"/>
  <c r="J51" i="11"/>
  <c r="I51" i="11"/>
  <c r="H51" i="11"/>
  <c r="G51" i="11"/>
  <c r="F51" i="11"/>
  <c r="E51" i="11"/>
  <c r="O50" i="11"/>
  <c r="N50" i="11"/>
  <c r="M50" i="11"/>
  <c r="L50" i="11"/>
  <c r="K50" i="11"/>
  <c r="J50" i="11"/>
  <c r="I50" i="11"/>
  <c r="H50" i="11"/>
  <c r="G50" i="11"/>
  <c r="F50" i="11"/>
  <c r="E50" i="11"/>
  <c r="O49" i="11"/>
  <c r="N49" i="11"/>
  <c r="M49" i="11"/>
  <c r="L49" i="11"/>
  <c r="K49" i="11"/>
  <c r="J49" i="11"/>
  <c r="I49" i="11"/>
  <c r="H49" i="11"/>
  <c r="G49" i="11"/>
  <c r="F49" i="11"/>
  <c r="E49" i="11"/>
  <c r="O48" i="11"/>
  <c r="N48" i="11"/>
  <c r="M48" i="11"/>
  <c r="L48" i="11"/>
  <c r="K48" i="11"/>
  <c r="J48" i="11"/>
  <c r="I48" i="11"/>
  <c r="H48" i="11"/>
  <c r="G48" i="11"/>
  <c r="F48" i="11"/>
  <c r="E48" i="11"/>
  <c r="O47" i="11"/>
  <c r="N47" i="11"/>
  <c r="M47" i="11"/>
  <c r="L47" i="11"/>
  <c r="K47" i="11"/>
  <c r="J47" i="11"/>
  <c r="I47" i="11"/>
  <c r="H47" i="11"/>
  <c r="G47" i="11"/>
  <c r="F47" i="11"/>
  <c r="E47" i="11"/>
  <c r="O46" i="11"/>
  <c r="N46" i="11"/>
  <c r="M46" i="11"/>
  <c r="L46" i="11"/>
  <c r="K46" i="11"/>
  <c r="J46" i="11"/>
  <c r="I46" i="11"/>
  <c r="H46" i="11"/>
  <c r="G46" i="11"/>
  <c r="F46" i="11"/>
  <c r="E46" i="11"/>
  <c r="O45" i="11"/>
  <c r="N45" i="11"/>
  <c r="M45" i="11"/>
  <c r="L45" i="11"/>
  <c r="K45" i="11"/>
  <c r="J45" i="11"/>
  <c r="I45" i="11"/>
  <c r="H45" i="11"/>
  <c r="G45" i="11"/>
  <c r="F45" i="11"/>
  <c r="E45" i="11"/>
  <c r="O44" i="11"/>
  <c r="N44" i="11"/>
  <c r="M44" i="11"/>
  <c r="L44" i="11"/>
  <c r="K44" i="11"/>
  <c r="J44" i="11"/>
  <c r="I44" i="11"/>
  <c r="H44" i="11"/>
  <c r="G44" i="11"/>
  <c r="F44" i="11"/>
  <c r="E44" i="11"/>
  <c r="O43" i="11"/>
  <c r="N43" i="11"/>
  <c r="M43" i="11"/>
  <c r="L43" i="11"/>
  <c r="K43" i="11"/>
  <c r="J43" i="11"/>
  <c r="I43" i="11"/>
  <c r="H43" i="11"/>
  <c r="G43" i="11"/>
  <c r="F43" i="11"/>
  <c r="E43" i="11"/>
  <c r="O42" i="11"/>
  <c r="N42" i="11"/>
  <c r="M42" i="11"/>
  <c r="L42" i="11"/>
  <c r="K42" i="11"/>
  <c r="J42" i="11"/>
  <c r="I42" i="11"/>
  <c r="H42" i="11"/>
  <c r="G42" i="11"/>
  <c r="F42" i="11"/>
  <c r="E42" i="11"/>
  <c r="O41" i="11"/>
  <c r="N41" i="11"/>
  <c r="M41" i="11"/>
  <c r="L41" i="11"/>
  <c r="K41" i="11"/>
  <c r="J41" i="11"/>
  <c r="I41" i="11"/>
  <c r="H41" i="11"/>
  <c r="G41" i="11"/>
  <c r="F41" i="11"/>
  <c r="E41" i="11"/>
  <c r="O40" i="11"/>
  <c r="N40" i="11"/>
  <c r="M40" i="11"/>
  <c r="L40" i="11"/>
  <c r="K40" i="11"/>
  <c r="J40" i="11"/>
  <c r="I40" i="11"/>
  <c r="H40" i="11"/>
  <c r="G40" i="11"/>
  <c r="F40" i="11"/>
  <c r="E40" i="11"/>
  <c r="O39" i="11"/>
  <c r="N39" i="11"/>
  <c r="M39" i="11"/>
  <c r="L39" i="11"/>
  <c r="K39" i="11"/>
  <c r="J39" i="11"/>
  <c r="I39" i="11"/>
  <c r="H39" i="11"/>
  <c r="G39" i="11"/>
  <c r="F39" i="11"/>
  <c r="E39" i="11"/>
  <c r="O38" i="11"/>
  <c r="N38" i="11"/>
  <c r="M38" i="11"/>
  <c r="L38" i="11"/>
  <c r="K38" i="11"/>
  <c r="J38" i="11"/>
  <c r="I38" i="11"/>
  <c r="H38" i="11"/>
  <c r="G38" i="11"/>
  <c r="F38" i="11"/>
  <c r="E38" i="11"/>
  <c r="O37" i="11"/>
  <c r="N37" i="11"/>
  <c r="M37" i="11"/>
  <c r="L37" i="11"/>
  <c r="K37" i="11"/>
  <c r="J37" i="11"/>
  <c r="I37" i="11"/>
  <c r="H37" i="11"/>
  <c r="G37" i="11"/>
  <c r="F37" i="11"/>
  <c r="E37" i="11"/>
  <c r="O36" i="11"/>
  <c r="N36" i="11"/>
  <c r="M36" i="11"/>
  <c r="L36" i="11"/>
  <c r="K36" i="11"/>
  <c r="J36" i="11"/>
  <c r="I36" i="11"/>
  <c r="H36" i="11"/>
  <c r="G36" i="11"/>
  <c r="F36" i="11"/>
  <c r="E36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I28" i="1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O26" i="11"/>
  <c r="N26" i="11"/>
  <c r="M26" i="11"/>
  <c r="L26" i="11"/>
  <c r="K26" i="11"/>
  <c r="J26" i="11"/>
  <c r="I26" i="11"/>
  <c r="H26" i="11"/>
  <c r="G26" i="11"/>
  <c r="F26" i="11"/>
  <c r="E26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3" i="11"/>
  <c r="D42" i="11"/>
  <c r="D41" i="11"/>
  <c r="D40" i="11"/>
  <c r="D39" i="11"/>
  <c r="D38" i="11"/>
  <c r="D37" i="11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AC27" i="1"/>
  <c r="AD27" i="1"/>
  <c r="AE27" i="1"/>
  <c r="AF27" i="1"/>
  <c r="AC28" i="1"/>
  <c r="AD28" i="1"/>
  <c r="AE28" i="1"/>
  <c r="AF28" i="1"/>
  <c r="AC29" i="1"/>
  <c r="AD29" i="1"/>
  <c r="AE29" i="1"/>
  <c r="AF29" i="1"/>
  <c r="AC30" i="1"/>
  <c r="AD30" i="1"/>
  <c r="AE30" i="1"/>
  <c r="AF30" i="1"/>
  <c r="AC31" i="1"/>
  <c r="AD31" i="1"/>
  <c r="AE31" i="1"/>
  <c r="AF31" i="1"/>
  <c r="N32" i="6"/>
  <c r="M32" i="6"/>
  <c r="L32" i="6"/>
  <c r="K32" i="6"/>
  <c r="J32" i="6"/>
  <c r="I32" i="6"/>
  <c r="H32" i="6"/>
  <c r="G32" i="6"/>
  <c r="N31" i="6"/>
  <c r="M31" i="6"/>
  <c r="L31" i="6"/>
  <c r="K31" i="6"/>
  <c r="J31" i="6"/>
  <c r="I31" i="6"/>
  <c r="H31" i="6"/>
  <c r="G31" i="6"/>
  <c r="N30" i="6"/>
  <c r="M30" i="6"/>
  <c r="L30" i="6"/>
  <c r="K30" i="6"/>
  <c r="J30" i="6"/>
  <c r="I30" i="6"/>
  <c r="H30" i="6"/>
  <c r="G30" i="6"/>
  <c r="N29" i="6"/>
  <c r="M29" i="6"/>
  <c r="L29" i="6"/>
  <c r="K29" i="6"/>
  <c r="J29" i="6"/>
  <c r="I29" i="6"/>
  <c r="H29" i="6"/>
  <c r="G29" i="6"/>
  <c r="N28" i="6"/>
  <c r="M28" i="6"/>
  <c r="L28" i="6"/>
  <c r="K28" i="6"/>
  <c r="J28" i="6"/>
  <c r="I28" i="6"/>
  <c r="H28" i="6"/>
  <c r="G33" i="6" s="1"/>
  <c r="G28" i="6"/>
  <c r="F30" i="4"/>
  <c r="E30" i="4"/>
  <c r="D30" i="4"/>
  <c r="C30" i="4"/>
  <c r="F29" i="4"/>
  <c r="E29" i="4"/>
  <c r="D29" i="4"/>
  <c r="C29" i="4"/>
  <c r="F28" i="4"/>
  <c r="E28" i="4"/>
  <c r="D28" i="4"/>
  <c r="C28" i="4"/>
  <c r="F27" i="4"/>
  <c r="E27" i="4"/>
  <c r="D27" i="4"/>
  <c r="C27" i="4"/>
  <c r="F26" i="4"/>
  <c r="E26" i="4"/>
  <c r="D26" i="4"/>
  <c r="C26" i="4"/>
  <c r="AB31" i="1"/>
  <c r="AA31" i="1"/>
  <c r="AB30" i="1"/>
  <c r="AA30" i="1"/>
  <c r="AB29" i="1"/>
  <c r="AA29" i="1"/>
  <c r="AB28" i="1"/>
  <c r="AA28" i="1"/>
  <c r="AB27" i="1"/>
  <c r="AA27" i="1"/>
  <c r="W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W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W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W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W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O28" i="1"/>
  <c r="L27" i="1"/>
  <c r="M29" i="1"/>
  <c r="M27" i="1"/>
  <c r="E27" i="1"/>
  <c r="F27" i="1"/>
  <c r="K27" i="1"/>
  <c r="N27" i="1"/>
  <c r="P27" i="1"/>
  <c r="Q27" i="1"/>
  <c r="R27" i="1"/>
  <c r="S27" i="1"/>
  <c r="E28" i="1"/>
  <c r="F28" i="1"/>
  <c r="K28" i="1"/>
  <c r="L28" i="1"/>
  <c r="M28" i="1"/>
  <c r="N28" i="1"/>
  <c r="P28" i="1"/>
  <c r="Q28" i="1"/>
  <c r="R28" i="1"/>
  <c r="S28" i="1"/>
  <c r="E29" i="1"/>
  <c r="F29" i="1"/>
  <c r="K29" i="1"/>
  <c r="L29" i="1"/>
  <c r="N29" i="1"/>
  <c r="P29" i="1"/>
  <c r="Q29" i="1"/>
  <c r="R29" i="1"/>
  <c r="S29" i="1"/>
  <c r="E30" i="1"/>
  <c r="F30" i="1"/>
  <c r="K30" i="1"/>
  <c r="L30" i="1"/>
  <c r="N30" i="1"/>
  <c r="P30" i="1"/>
  <c r="Q30" i="1"/>
  <c r="R30" i="1"/>
  <c r="S30" i="1"/>
  <c r="E31" i="1"/>
  <c r="F31" i="1"/>
  <c r="K31" i="1"/>
  <c r="L31" i="1"/>
  <c r="N31" i="1"/>
  <c r="P31" i="1"/>
  <c r="Q31" i="1"/>
  <c r="R31" i="1"/>
  <c r="S31" i="1"/>
  <c r="D31" i="1"/>
  <c r="D30" i="1"/>
  <c r="D29" i="1"/>
  <c r="D28" i="1"/>
  <c r="D27" i="1"/>
  <c r="AQ32" i="1" l="1"/>
  <c r="AA32" i="1"/>
  <c r="AI57" i="13"/>
  <c r="AI58" i="13" s="1"/>
  <c r="AI59" i="13" s="1"/>
  <c r="AU57" i="13"/>
  <c r="AU58" i="13" s="1"/>
  <c r="AU59" i="13" s="1"/>
  <c r="P57" i="13"/>
  <c r="P58" i="13" s="1"/>
  <c r="P59" i="13" s="1"/>
  <c r="D57" i="13"/>
  <c r="D58" i="13" s="1"/>
  <c r="D59" i="13" s="1"/>
  <c r="AB57" i="13"/>
  <c r="N57" i="13"/>
  <c r="N58" i="13" s="1"/>
  <c r="Z57" i="13"/>
  <c r="Z58" i="13" s="1"/>
  <c r="Z59" i="13" s="1"/>
  <c r="AG57" i="13"/>
  <c r="AG58" i="13" s="1"/>
  <c r="AS57" i="13"/>
  <c r="AS58" i="13" s="1"/>
  <c r="AS59" i="13" s="1"/>
  <c r="E57" i="13"/>
  <c r="Q57" i="13"/>
  <c r="AC57" i="13"/>
  <c r="AC58" i="13" s="1"/>
  <c r="AJ57" i="13"/>
  <c r="AJ58" i="13" s="1"/>
  <c r="AJ59" i="13" s="1"/>
  <c r="AV57" i="13"/>
  <c r="AV58" i="13" s="1"/>
  <c r="AV59" i="13" s="1"/>
  <c r="O57" i="13"/>
  <c r="O58" i="13" s="1"/>
  <c r="O59" i="13" s="1"/>
  <c r="AA57" i="13"/>
  <c r="AA58" i="13" s="1"/>
  <c r="AA59" i="13" s="1"/>
  <c r="AH57" i="13"/>
  <c r="AH58" i="13" s="1"/>
  <c r="AH59" i="13" s="1"/>
  <c r="AT57" i="13"/>
  <c r="AT58" i="13" s="1"/>
  <c r="AT59" i="13" s="1"/>
  <c r="F57" i="13"/>
  <c r="F58" i="13" s="1"/>
  <c r="F59" i="13" s="1"/>
  <c r="R57" i="13"/>
  <c r="R58" i="13" s="1"/>
  <c r="R59" i="13" s="1"/>
  <c r="AK57" i="13"/>
  <c r="AK58" i="13" s="1"/>
  <c r="AK59" i="13" s="1"/>
  <c r="AW57" i="13"/>
  <c r="AW58" i="13" s="1"/>
  <c r="AW59" i="13" s="1"/>
  <c r="H57" i="13"/>
  <c r="H58" i="13" s="1"/>
  <c r="H59" i="13" s="1"/>
  <c r="AY57" i="13"/>
  <c r="I57" i="13"/>
  <c r="I58" i="13" s="1"/>
  <c r="I59" i="13" s="1"/>
  <c r="U57" i="13"/>
  <c r="U58" i="13" s="1"/>
  <c r="AN57" i="13"/>
  <c r="M57" i="13"/>
  <c r="M58" i="13" s="1"/>
  <c r="M59" i="13" s="1"/>
  <c r="Y57" i="13"/>
  <c r="Y58" i="13" s="1"/>
  <c r="Y59" i="13" s="1"/>
  <c r="AF57" i="13"/>
  <c r="AR57" i="13"/>
  <c r="J57" i="13"/>
  <c r="J58" i="13" s="1"/>
  <c r="V57" i="13"/>
  <c r="V58" i="13" s="1"/>
  <c r="AO57" i="13"/>
  <c r="AO58" i="13" s="1"/>
  <c r="K57" i="13"/>
  <c r="K58" i="13" s="1"/>
  <c r="K59" i="13" s="1"/>
  <c r="W57" i="13"/>
  <c r="AP57" i="13"/>
  <c r="AP58" i="13" s="1"/>
  <c r="AP59" i="13" s="1"/>
  <c r="L57" i="13"/>
  <c r="L58" i="13" s="1"/>
  <c r="X57" i="13"/>
  <c r="X58" i="13" s="1"/>
  <c r="AE57" i="13"/>
  <c r="AE58" i="13" s="1"/>
  <c r="AQ57" i="13"/>
  <c r="AQ58" i="13" s="1"/>
  <c r="G57" i="13"/>
  <c r="G58" i="13" s="1"/>
  <c r="G59" i="13" s="1"/>
  <c r="S57" i="13"/>
  <c r="S58" i="13" s="1"/>
  <c r="S59" i="13" s="1"/>
  <c r="AL57" i="13"/>
  <c r="AL58" i="13" s="1"/>
  <c r="AL59" i="13" s="1"/>
  <c r="AX57" i="13"/>
  <c r="AX58" i="13" s="1"/>
  <c r="AX59" i="13" s="1"/>
  <c r="T57" i="13"/>
  <c r="T58" i="13" s="1"/>
  <c r="AM57" i="13"/>
  <c r="J57" i="11"/>
  <c r="J58" i="11" s="1"/>
  <c r="H57" i="11"/>
  <c r="H58" i="11" s="1"/>
  <c r="D28" i="11"/>
  <c r="F57" i="11"/>
  <c r="F58" i="11" s="1"/>
  <c r="F59" i="11" s="1"/>
  <c r="M57" i="11"/>
  <c r="M58" i="11" s="1"/>
  <c r="M59" i="11" s="1"/>
  <c r="O57" i="11"/>
  <c r="O58" i="11" s="1"/>
  <c r="O59" i="11" s="1"/>
  <c r="E57" i="11"/>
  <c r="E58" i="11" s="1"/>
  <c r="N57" i="11"/>
  <c r="N58" i="11" s="1"/>
  <c r="G57" i="11"/>
  <c r="G58" i="11" s="1"/>
  <c r="G59" i="11" s="1"/>
  <c r="D27" i="11"/>
  <c r="I57" i="11"/>
  <c r="I58" i="11" s="1"/>
  <c r="I59" i="11" s="1"/>
  <c r="D36" i="11"/>
  <c r="K57" i="11"/>
  <c r="K58" i="11" s="1"/>
  <c r="D29" i="11"/>
  <c r="L57" i="11"/>
  <c r="L58" i="11" s="1"/>
  <c r="L59" i="11" s="1"/>
  <c r="D26" i="11"/>
  <c r="D44" i="11"/>
  <c r="D26" i="10"/>
  <c r="D27" i="10"/>
  <c r="D28" i="10"/>
  <c r="D29" i="10"/>
  <c r="G32" i="1"/>
  <c r="I32" i="1"/>
  <c r="AG32" i="1"/>
  <c r="AI32" i="1"/>
  <c r="AK32" i="1"/>
  <c r="AE32" i="1"/>
  <c r="AM32" i="1"/>
  <c r="AO32" i="1"/>
  <c r="AC32" i="1"/>
  <c r="W32" i="1"/>
  <c r="K33" i="6"/>
  <c r="M33" i="6"/>
  <c r="I33" i="6"/>
  <c r="S32" i="1"/>
  <c r="Q32" i="1"/>
  <c r="M32" i="1"/>
  <c r="K32" i="1"/>
  <c r="O31" i="1"/>
  <c r="O30" i="1"/>
  <c r="O29" i="1"/>
  <c r="O27" i="1"/>
  <c r="O32" i="1" s="1"/>
  <c r="M31" i="1"/>
  <c r="M30" i="1"/>
  <c r="V27" i="1" l="1"/>
  <c r="V30" i="1"/>
  <c r="V28" i="1"/>
  <c r="V31" i="1"/>
  <c r="V29" i="1"/>
  <c r="E59" i="11"/>
  <c r="J59" i="11"/>
  <c r="H59" i="11"/>
  <c r="AE59" i="13"/>
  <c r="AF58" i="13"/>
  <c r="AF59" i="13" s="1"/>
  <c r="AN58" i="13"/>
  <c r="AN59" i="13" s="1"/>
  <c r="AQ59" i="13"/>
  <c r="AO59" i="13"/>
  <c r="L59" i="13"/>
  <c r="AC59" i="13"/>
  <c r="AB58" i="13"/>
  <c r="AB59" i="13" s="1"/>
  <c r="X59" i="13"/>
  <c r="J59" i="13"/>
  <c r="W58" i="13"/>
  <c r="W59" i="13" s="1"/>
  <c r="N59" i="13"/>
  <c r="T59" i="13"/>
  <c r="AR58" i="13"/>
  <c r="AR59" i="13" s="1"/>
  <c r="V59" i="13"/>
  <c r="AY58" i="13"/>
  <c r="AY59" i="13" s="1"/>
  <c r="Q58" i="13"/>
  <c r="Q59" i="13" s="1"/>
  <c r="U59" i="13"/>
  <c r="AG59" i="13"/>
  <c r="E58" i="13"/>
  <c r="E59" i="13" s="1"/>
  <c r="AM58" i="13"/>
  <c r="AM59" i="13" s="1"/>
  <c r="N59" i="11"/>
  <c r="K59" i="11"/>
  <c r="D57" i="11"/>
  <c r="D58" i="11" s="1"/>
  <c r="D59" i="11" s="1"/>
</calcChain>
</file>

<file path=xl/sharedStrings.xml><?xml version="1.0" encoding="utf-8"?>
<sst xmlns="http://schemas.openxmlformats.org/spreadsheetml/2006/main" count="387" uniqueCount="248">
  <si>
    <t>PM-Pre</t>
  </si>
  <si>
    <t>PM-Post</t>
  </si>
  <si>
    <t>AM-Pre</t>
  </si>
  <si>
    <t xml:space="preserve">AM-Post </t>
  </si>
  <si>
    <t>AM</t>
  </si>
  <si>
    <t>PM</t>
  </si>
  <si>
    <t>T° Thorax -Meam</t>
  </si>
  <si>
    <t>T° Thorax -Max</t>
  </si>
  <si>
    <t>T° Nuque sous Cagoule - Meam</t>
  </si>
  <si>
    <t>T° Nuque sous Cagoule - Max</t>
  </si>
  <si>
    <t>T° Sous EPI - Meam</t>
  </si>
  <si>
    <t>T° Sous EPI - Max</t>
  </si>
  <si>
    <t>Hg Sous EPI - Meam</t>
  </si>
  <si>
    <t>Hg Sous EPI - Max</t>
  </si>
  <si>
    <t>Moyenne</t>
  </si>
  <si>
    <t>SD</t>
  </si>
  <si>
    <t>Min</t>
  </si>
  <si>
    <t>Max</t>
  </si>
  <si>
    <t>Mediane</t>
  </si>
  <si>
    <t>Age (Y)</t>
  </si>
  <si>
    <t>Diff.</t>
  </si>
  <si>
    <t>Perceptual Strain (RPE)</t>
  </si>
  <si>
    <t>Mass (Kg)</t>
  </si>
  <si>
    <t>Body Fat (%)</t>
  </si>
  <si>
    <t>Height (cm)</t>
  </si>
  <si>
    <t>Age (Yers)</t>
  </si>
  <si>
    <t>Meam</t>
  </si>
  <si>
    <t>Median</t>
  </si>
  <si>
    <t>Body Mass (Kg)</t>
  </si>
  <si>
    <t>Total Body Water (TBW, % of Body Mass)</t>
  </si>
  <si>
    <t>Resting T°core Reference Day Off vs T°core Experimental Day</t>
  </si>
  <si>
    <t>AM- T°core Day Off</t>
  </si>
  <si>
    <t>AM - T°core Expe. Day</t>
  </si>
  <si>
    <t>PM- T°core Day Off</t>
  </si>
  <si>
    <t>PM - T°core Expe. Day</t>
  </si>
  <si>
    <t>Mean</t>
  </si>
  <si>
    <t xml:space="preserve">AM - Experimental Day </t>
  </si>
  <si>
    <t>Subject</t>
  </si>
  <si>
    <t>Différence</t>
  </si>
  <si>
    <t>AM Exposure</t>
  </si>
  <si>
    <t>PM Exposure</t>
  </si>
  <si>
    <t>Slope_AM (Â°C/min)</t>
  </si>
  <si>
    <t>Slope_PM (Â°C/min)</t>
  </si>
  <si>
    <t>Peak_AM (Â°C)</t>
  </si>
  <si>
    <t>Peak_PM (Â°C)</t>
  </si>
  <si>
    <t>DeltaSlope (AM-PM)</t>
  </si>
  <si>
    <t>DeltaPeak (AM-PM)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</si>
  <si>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</si>
  <si>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</si>
  <si>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</si>
  <si>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</si>
  <si>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</si>
  <si>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</si>
  <si>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</si>
  <si>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</si>
  <si>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</si>
  <si>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</si>
  <si>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</si>
  <si>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</si>
  <si>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</si>
  <si>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</si>
  <si>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</si>
  <si>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</si>
  <si>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</si>
  <si>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</si>
  <si>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</si>
  <si>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</si>
  <si>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</si>
  <si>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 xml:space="preserve">AM </t>
  </si>
  <si>
    <t>T 0</t>
  </si>
  <si>
    <t>AM - HRmax</t>
  </si>
  <si>
    <t>HRmax (beat.min-1)</t>
  </si>
  <si>
    <t>% PM-Hrmax</t>
  </si>
  <si>
    <t>% AM - HRmax</t>
  </si>
  <si>
    <t>HR Mean</t>
  </si>
  <si>
    <t>PM - HRmax</t>
  </si>
  <si>
    <t>Body water percentage (%)</t>
  </si>
  <si>
    <t>Weight (Kg)</t>
  </si>
  <si>
    <t>Variable</t>
  </si>
  <si>
    <t>AM — Mean ± SD (min–max)</t>
  </si>
  <si>
    <t>PM — Mean ± SD (min–max)</t>
  </si>
  <si>
    <t>Paired Δ (AM–PM) Mean ± SD</t>
  </si>
  <si>
    <t>t(df)</t>
  </si>
  <si>
    <t>p</t>
  </si>
  <si>
    <t>Cohen’s dz</t>
  </si>
  <si>
    <t>Interpretation</t>
  </si>
  <si>
    <t>Thorax skin Temp — Mean (°C)</t>
  </si>
  <si>
    <t>37.56 ± 0.54 (36.35–38.35)</t>
  </si>
  <si>
    <t>37.11 ± 0.45 (36.38–38.04)</t>
  </si>
  <si>
    <t>+0.45 ± 0.34</t>
  </si>
  <si>
    <t>6.46(23)</t>
  </si>
  <si>
    <t>&lt;0.0001</t>
  </si>
  <si>
    <t>1.32</t>
  </si>
  <si>
    <t>AM &gt; PM, large effect</t>
  </si>
  <si>
    <t>Thorax skin Temp — Max (°C)</t>
  </si>
  <si>
    <t>38.60 ± 0.72 (37.63–40.33)</t>
  </si>
  <si>
    <t>38.05 ± 0.60 (37.12–39.01)</t>
  </si>
  <si>
    <t>+0.55 ± 0.60</t>
  </si>
  <si>
    <t>6.12(23)</t>
  </si>
  <si>
    <t>1.25</t>
  </si>
  <si>
    <t>Neck (under hood) Temp — Mean (°C)</t>
  </si>
  <si>
    <t>44.57 ± 4.09 (39–56)</t>
  </si>
  <si>
    <t>44.19 ± 4.12 (39–54)</t>
  </si>
  <si>
    <t>+0.38 ± 2.79</t>
  </si>
  <si>
    <t>0.64(21)</t>
  </si>
  <si>
    <t>0.53</t>
  </si>
  <si>
    <t>0.14</t>
  </si>
  <si>
    <t>No meaningful AM–PM difference</t>
  </si>
  <si>
    <t>Neck (under hood) Temp — Max (°C)</t>
  </si>
  <si>
    <t>60.62 ± 4.95 (51–67)</t>
  </si>
  <si>
    <t>61.90 ± 6.02 (51–73)</t>
  </si>
  <si>
    <t>−1.28 ± 5.11</t>
  </si>
  <si>
    <t>−1.20(21)</t>
  </si>
  <si>
    <t>0.24</t>
  </si>
  <si>
    <t>0.26</t>
  </si>
  <si>
    <t>No significant difference</t>
  </si>
  <si>
    <t>Under-PPE Temp — Mean (°C)</t>
  </si>
  <si>
    <t>42.00 ± 4.01 (35–52)</t>
  </si>
  <si>
    <t>41.90 ± 3.41 (36–52)</t>
  </si>
  <si>
    <t>+0.10 ± 2.56</t>
  </si>
  <si>
    <t>0.18(20)</t>
  </si>
  <si>
    <t>0.86</t>
  </si>
  <si>
    <t>0.04</t>
  </si>
  <si>
    <t>No difference</t>
  </si>
  <si>
    <t>Under-PPE Temp — Max (°C)</t>
  </si>
  <si>
    <t>54.05 ± 6.63 (43–65)</t>
  </si>
  <si>
    <t>54.29 ± 5.23 (46–63)</t>
  </si>
  <si>
    <t>−0.24 ± 4.99</t>
  </si>
  <si>
    <t>−0.21(20)</t>
  </si>
  <si>
    <t>0.84</t>
  </si>
  <si>
    <t>0.05</t>
  </si>
  <si>
    <t>Under-PPE Relative Humidity — Mean (%)</t>
  </si>
  <si>
    <t>83.90 ± 6.26 (67–95)</t>
  </si>
  <si>
    <t>84.03 ± 6.83 (63–96)</t>
  </si>
  <si>
    <t>+3.79 ± 9.10</t>
  </si>
  <si>
    <t>1.89(20)</t>
  </si>
  <si>
    <t>0.073</t>
  </si>
  <si>
    <t>0.41</t>
  </si>
  <si>
    <t>Trend toward higher AM (ns)</t>
  </si>
  <si>
    <t>Under-PPE Relative Humidity — Max (%)</t>
  </si>
  <si>
    <t>96.14 ± 4.84 (85–100)</t>
  </si>
  <si>
    <t>92.86 ± 6.31 (83–100)</t>
  </si>
  <si>
    <t>+3.29 ± 7.44</t>
  </si>
  <si>
    <t>2.03(20)</t>
  </si>
  <si>
    <t>0.056</t>
  </si>
  <si>
    <t>0.44</t>
  </si>
  <si>
    <t>Near-significant AM &gt; PM (ns)</t>
  </si>
  <si>
    <t>Time</t>
  </si>
  <si>
    <t>Cosinor Tcore Day-Off</t>
  </si>
  <si>
    <t>Mean Tcore Day-Off</t>
  </si>
  <si>
    <t>Mean Tcore Experimental Day</t>
  </si>
  <si>
    <t>Main effect TOD (AM vs PM)</t>
  </si>
  <si>
    <t>Main effect Time</t>
  </si>
  <si>
    <t>Interaction    (TOD × Time)</t>
  </si>
  <si>
    <t>Notes / Effect size / Comment</t>
  </si>
  <si>
    <t>Resting Tcore (day-off vs experimental)</t>
  </si>
  <si>
    <t>PM &gt; AM (p &lt; 0.001)</t>
  </si>
  <si>
    <t>ns</t>
  </si>
  <si>
    <t xml:space="preserve">Circadian elevation +0.60 ± 0.45 °C PM–AM. </t>
  </si>
  <si>
    <t>Baseline Tcore (experimental)</t>
  </si>
  <si>
    <t>AM 36.54 ± 0.37 / PM 37.15 ± 0.32 (p &lt; 0.001)</t>
  </si>
  <si>
    <t>—</t>
  </si>
  <si>
    <t xml:space="preserve">Starting difference ≈ +0.61 °C. </t>
  </si>
  <si>
    <t>ΔTcore slope (°C·min⁻¹)</t>
  </si>
  <si>
    <t>AM 0.028 ± 0.003 &gt; PM 0.012 ± 0.002 (p &lt; 10⁻¹⁶)</t>
  </si>
  <si>
    <t>p &lt; 0.001</t>
  </si>
  <si>
    <t>p &lt; 10⁻⁸²</t>
  </si>
  <si>
    <t xml:space="preserve">Faster heat storage AM (ηp² = 0.975). </t>
  </si>
  <si>
    <t>ΔTcore 40 min (°C)</t>
  </si>
  <si>
    <t>AM +1.10 ± 0.25 &gt; PM +0.49 ± 0.21 (p &lt; 10⁻¹⁶)</t>
  </si>
  <si>
    <t>p &lt; 10⁻¹¹⁵</t>
  </si>
  <si>
    <t xml:space="preserve">Nearly ×2 higher in AM. </t>
  </si>
  <si>
    <t>AUC ΔTcore (°C·min)</t>
  </si>
  <si>
    <t>AM 22.97 ± 3.10 &gt; PM 13.11 ± 2.85 (p &lt; 10⁻¹⁵)</t>
  </si>
  <si>
    <t xml:space="preserve">Large cumulative heat gain (d_z = −3.58). </t>
  </si>
  <si>
    <t>Peak Tcore (°C, 0–40 min)</t>
  </si>
  <si>
    <t>ns (AM 37.64 ± 0.32 / PM 37.64 ± 0.32; p = 0.996)**</t>
  </si>
  <si>
    <t xml:space="preserve">Convergent plateau ≈ 37.64 °C. </t>
  </si>
  <si>
    <t>Post-exit after-rise (°C)</t>
  </si>
  <si>
    <t>AM +0.51 ± 0.09 &gt; PM +0.11 ± 0.05 (p = 0.0016)</t>
  </si>
  <si>
    <t>p ≤ 0.006</t>
  </si>
  <si>
    <t xml:space="preserve">Delayed peak: AM +40 min / PM +32 min. </t>
  </si>
  <si>
    <t>Cooling slope (°C·h⁻¹)</t>
  </si>
  <si>
    <t>AM −0.37 ± 0.06 &lt; PM −0.63 ± 0.08 (p &lt; 0.001)</t>
  </si>
  <si>
    <t xml:space="preserve">Slower thermal recovery AM. </t>
  </si>
  <si>
    <t>Time to Day-Off alignment (hh:mm)</t>
  </si>
  <si>
    <t>AM 3 h 06 ± 0 h 18 &gt; PM 2 h 26 ± 0 h 14</t>
  </si>
  <si>
    <t xml:space="preserve">To Cosinor intersection ≈ AM 3 h 54 / PM 2 h 42. </t>
  </si>
  <si>
    <t>Hypothermic rebound amplitude (°C)</t>
  </si>
  <si>
    <t>AM −0.22 ± 0.06 / PM −0.18 ± 0.05</t>
  </si>
  <si>
    <t xml:space="preserve">Post-recovery dip below circadian baseline. </t>
  </si>
  <si>
    <t>Thermal decompensation onset (min)</t>
  </si>
  <si>
    <t>AM 26 ± 5 &lt; PM 34 ± 6 (p = 0.003)</t>
  </si>
  <si>
    <t xml:space="preserve">Earlier transition AM (compensation→decomp.). </t>
  </si>
  <si>
    <t>HR_mean (bpm)</t>
  </si>
  <si>
    <t>AM 170 ± 9 &gt; PM 164 ± 8 (p = 0.009)</t>
  </si>
  <si>
    <t xml:space="preserve">Greater cardiovascular load AM. </t>
  </si>
  <si>
    <t>HR_mean (% pred. HR_max)</t>
  </si>
  <si>
    <t>AM 89.7 ± 4.5 % &gt; PM 86.4 ± 4.9 % (p &lt; 0.01)</t>
  </si>
  <si>
    <t xml:space="preserve">— </t>
  </si>
  <si>
    <t>HR_max (bpm)</t>
  </si>
  <si>
    <t>AM 181 ± 10 &gt; PM 176 ± 9 (p = 0.017)</t>
  </si>
  <si>
    <t>HR_max (% pred. HR_max)</t>
  </si>
  <si>
    <t>AM 95.4 ± 5.0 % &gt; PM 92.5 ± 5.2 % (p = 0.021)</t>
  </si>
  <si>
    <t>RPE (AU)</t>
  </si>
  <si>
    <t>AM 16.9 ± 0.8 &gt; PM 15.9 ± 0.9 (p = 0.007)</t>
  </si>
  <si>
    <t xml:space="preserve">Higher perceptual strain AM. </t>
  </si>
  <si>
    <t>Body-mass loss (kg)</t>
  </si>
  <si>
    <t>AM 0.60 ± 0.22 &gt; PM 0.40 ± 0.18 (p = 0.023)</t>
  </si>
  <si>
    <t>p = 0.023</t>
  </si>
  <si>
    <t xml:space="preserve">Pre–post AM 78.4 → 77.8 / PM 80.1 → 79.7. </t>
  </si>
  <si>
    <t>Body-mass loss (%)</t>
  </si>
  <si>
    <t>AM −2.17 ± 0.33 &gt; PM −1.62 ± 0.26 (p &lt; 10⁻⁷)</t>
  </si>
  <si>
    <t>TBW loss (%-points)</t>
  </si>
  <si>
    <t>AM −0.9 ± 0.3 &gt; PM −0.4 ± 0.2 (p &lt; 0.001)</t>
  </si>
  <si>
    <t xml:space="preserve">Lower hydration AM. </t>
  </si>
  <si>
    <t>Chest skin temperature (°C)</t>
  </si>
  <si>
    <t>AM 37.51 ± 0.54 &gt; PM 37.01 ± 0.45 (p &lt; 0.001)</t>
  </si>
  <si>
    <t xml:space="preserve">T_max AM 38.70 ± 0.72 / PM 37.84 ± 0.51. </t>
  </si>
  <si>
    <t>Neck skin temperature (°C)</t>
  </si>
  <si>
    <t>ns (p = 0.45)</t>
  </si>
  <si>
    <t xml:space="preserve">T_max AM 60.6 ± 5.0 / PM 61.9 ± 6.0. </t>
  </si>
  <si>
    <t>Under-PPE temperature (°C)</t>
  </si>
  <si>
    <t>ns (p = 0.88)**</t>
  </si>
  <si>
    <t xml:space="preserve">Mean 42.0 ± 4.0 (AM) vs 41.9 ± 3.4 (PM); T_max 54.0 ± 6.7 vs 54.3 ± 5.2. </t>
  </si>
  <si>
    <t>Under-PPE relative humidity (%)</t>
  </si>
  <si>
    <t>AM 83.9 ± 6.3 &gt; PM 80.1 ± 6.8 (p &lt; 0.001)</t>
  </si>
  <si>
    <t xml:space="preserve">RH_max 96.1 ± 4.8 &gt; 92.9 ± 5.6 (p &lt; 0.001)**. </t>
  </si>
  <si>
    <t>Air temp 0.10 m (°C)</t>
  </si>
  <si>
    <t>AM≈PM (F=0.00, p=0.995)</t>
  </si>
  <si>
    <t>Strong rise over time (F=807.3, p&lt;0.001)</t>
  </si>
  <si>
    <t>AM–PM mean Δ ≈ 0.00 °C (0–40 min). Identical burn profiles ; Mean±SD : AM : 42.46 °C ± 8.51 °C vs PM: 42.46 °C ± 8.46 °C</t>
  </si>
  <si>
    <t>Air temp 0.50 m (°C)</t>
  </si>
  <si>
    <t>AM≈PM (F=0.12, p=0.73)</t>
  </si>
  <si>
    <t>Strong time effect (F=304.58, p&lt;0.001)</t>
  </si>
  <si>
    <t>AM–PM Δ ≈ +1.00 °C ; Mean±SD : AM: 87.47 °C ± 27.63 °C  vs PM: 86.47 °C  ± 48.17 °C</t>
  </si>
  <si>
    <t>Air temp 1.00 m (°C)</t>
  </si>
  <si>
    <t>Strong time effect (F=236.57, p&lt;0.001)</t>
  </si>
  <si>
    <t>AM–PM Δ ≈ +0.03 °C ; Mean±SD : AM: 146.04 °C ± 49 °C  vs PM: 146 °C  ± 49.17 °C</t>
  </si>
  <si>
    <t>Air temp 1.50 m (°C)</t>
  </si>
  <si>
    <t>AM≈PM (F=0.16, p=0.695)</t>
  </si>
  <si>
    <t>Strong time effect (F=129.56, p&lt;0.001)</t>
  </si>
  <si>
    <t>AM–PM Δ ≈ +0.58 °C ; Mean±SD : AM: 196 °C ± 60 °C  vs PM: 195 °C ± 56 °C</t>
  </si>
  <si>
    <t>Air temp 2.30 m (°C)</t>
  </si>
  <si>
    <t>AM≈PM (F=0.13, p=0.724)</t>
  </si>
  <si>
    <t>Strong time effect (F=85.69, p&lt;0.001)</t>
  </si>
  <si>
    <t>AM–PM Δ ≈ +10.16 °C ; Mean±SD :  AM: 487 °C ± 168 °C vs PM: 477 °C ± 157 °C</t>
  </si>
  <si>
    <t>% Body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</si>
</sst>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2" fontId="0" fillId="0" borderId="0" xfId="0" applyNumberFormat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" fontId="1" fillId="0" borderId="2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/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Border="1"/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2" fontId="0" fillId="0" borderId="0" xfId="0" applyNumberFormat="1"/>
    <xf numFmtId="2" fontId="0" fillId="0" borderId="8" xfId="0" applyNumberFormat="1" applyBorder="1" applyAlignment="1">
      <alignment horizontal="left" vertical="center"/>
    </xf>
    <xf numFmtId="2" fontId="0" fillId="0" borderId="9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164" fontId="0" fillId="6" borderId="1" xfId="0" applyNumberFormat="1" applyFill="1" applyBorder="1"/>
    <xf numFmtId="2" fontId="0" fillId="6" borderId="1" xfId="0" applyNumberFormat="1" applyFill="1" applyBorder="1"/>
    <xf numFmtId="164" fontId="0" fillId="3" borderId="1" xfId="0" applyNumberFormat="1" applyFill="1" applyBorder="1"/>
    <xf numFmtId="0" fontId="0" fillId="7" borderId="1" xfId="0" applyFill="1" applyBorder="1" applyAlignment="1">
      <alignment horizontal="center" vertical="center"/>
    </xf>
    <xf numFmtId="165" fontId="0" fillId="7" borderId="1" xfId="0" applyNumberFormat="1" applyFill="1" applyBorder="1"/>
    <xf numFmtId="2" fontId="0" fillId="7" borderId="1" xfId="0" applyNumberFormat="1" applyFill="1" applyBorder="1"/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5" borderId="1" xfId="0" applyNumberFormat="1" applyFill="1" applyBorder="1"/>
    <xf numFmtId="2" fontId="0" fillId="5" borderId="1" xfId="0" applyNumberFormat="1" applyFill="1" applyBorder="1"/>
    <xf numFmtId="2" fontId="0" fillId="0" borderId="1" xfId="0" applyNumberFormat="1" applyFill="1" applyBorder="1"/>
    <xf numFmtId="2" fontId="0" fillId="7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2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164" fontId="0" fillId="6" borderId="9" xfId="0" applyNumberFormat="1" applyFill="1" applyBorder="1"/>
    <xf numFmtId="0" fontId="0" fillId="8" borderId="8" xfId="0" applyFill="1" applyBorder="1" applyAlignment="1">
      <alignment horizontal="left" vertical="center"/>
    </xf>
    <xf numFmtId="164" fontId="0" fillId="8" borderId="9" xfId="0" applyNumberFormat="1" applyFill="1" applyBorder="1"/>
    <xf numFmtId="2" fontId="0" fillId="8" borderId="0" xfId="0" applyNumberFormat="1" applyFill="1"/>
    <xf numFmtId="2" fontId="0" fillId="8" borderId="1" xfId="0" applyNumberFormat="1" applyFill="1" applyBorder="1"/>
    <xf numFmtId="0" fontId="0" fillId="8" borderId="10" xfId="0" applyFill="1" applyBorder="1" applyAlignment="1">
      <alignment horizontal="left" vertical="center"/>
    </xf>
    <xf numFmtId="164" fontId="0" fillId="8" borderId="1" xfId="0" applyNumberFormat="1" applyFill="1" applyBorder="1"/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6" borderId="9" xfId="0" applyNumberFormat="1" applyFill="1" applyBorder="1" applyAlignment="1">
      <alignment horizontal="left" vertical="center"/>
    </xf>
    <xf numFmtId="2" fontId="0" fillId="6" borderId="10" xfId="0" applyNumberFormat="1" applyFill="1" applyBorder="1" applyAlignment="1">
      <alignment horizontal="left" vertical="center"/>
    </xf>
    <xf numFmtId="2" fontId="0" fillId="6" borderId="11" xfId="0" applyNumberFormat="1" applyFill="1" applyBorder="1" applyAlignment="1">
      <alignment horizontal="left" vertical="center"/>
    </xf>
    <xf numFmtId="2" fontId="0" fillId="0" borderId="13" xfId="0" applyNumberFormat="1" applyBorder="1" applyAlignment="1">
      <alignment horizontal="center"/>
    </xf>
    <xf numFmtId="2" fontId="0" fillId="3" borderId="8" xfId="0" applyNumberFormat="1" applyFill="1" applyBorder="1" applyAlignment="1">
      <alignment horizontal="left" vertical="center"/>
    </xf>
    <xf numFmtId="2" fontId="0" fillId="3" borderId="13" xfId="0" applyNumberFormat="1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166" fontId="0" fillId="0" borderId="0" xfId="0" applyNumberFormat="1"/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[1]Feuil1!$B$1</c:f>
              <c:strCache>
                <c:ptCount val="1"/>
                <c:pt idx="0">
                  <c:v>Cosinor Tcore Day-Off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[1]Feuil1!$A:$A</c:f>
              <c:strCache>
                <c:ptCount val="1048576"/>
                <c:pt idx="0">
                  <c:v>Time</c:v>
                </c:pt>
                <c:pt idx="1">
                  <c:v>0.358333333</c:v>
                </c:pt>
                <c:pt idx="2">
                  <c:v>0.363888889</c:v>
                </c:pt>
                <c:pt idx="3">
                  <c:v>0.369444444</c:v>
                </c:pt>
                <c:pt idx="4">
                  <c:v>0.375</c:v>
                </c:pt>
                <c:pt idx="5">
                  <c:v>0.380555556</c:v>
                </c:pt>
                <c:pt idx="6">
                  <c:v>0.386111111</c:v>
                </c:pt>
                <c:pt idx="7">
                  <c:v>0.391666667</c:v>
                </c:pt>
                <c:pt idx="8">
                  <c:v>0.397222222</c:v>
                </c:pt>
                <c:pt idx="9">
                  <c:v>0.402777778</c:v>
                </c:pt>
                <c:pt idx="10">
                  <c:v>0.408333333</c:v>
                </c:pt>
                <c:pt idx="11">
                  <c:v>0.413888889</c:v>
                </c:pt>
                <c:pt idx="12">
                  <c:v>0.419444444</c:v>
                </c:pt>
                <c:pt idx="13">
                  <c:v>0.425</c:v>
                </c:pt>
                <c:pt idx="14">
                  <c:v>0.430555556</c:v>
                </c:pt>
                <c:pt idx="15">
                  <c:v>0.436111111</c:v>
                </c:pt>
                <c:pt idx="16">
                  <c:v>0.441666667</c:v>
                </c:pt>
                <c:pt idx="17">
                  <c:v>0.447222222</c:v>
                </c:pt>
                <c:pt idx="18">
                  <c:v>0.452777778</c:v>
                </c:pt>
                <c:pt idx="19">
                  <c:v>0.458333333</c:v>
                </c:pt>
                <c:pt idx="20">
                  <c:v>0.463888889</c:v>
                </c:pt>
                <c:pt idx="21">
                  <c:v>0.469444444</c:v>
                </c:pt>
                <c:pt idx="22">
                  <c:v>0.475</c:v>
                </c:pt>
                <c:pt idx="23">
                  <c:v>0.480555556</c:v>
                </c:pt>
                <c:pt idx="24">
                  <c:v>0.486111111</c:v>
                </c:pt>
                <c:pt idx="25">
                  <c:v>0.491666667</c:v>
                </c:pt>
                <c:pt idx="26">
                  <c:v>0.497222222</c:v>
                </c:pt>
                <c:pt idx="27">
                  <c:v>0.502777778</c:v>
                </c:pt>
                <c:pt idx="28">
                  <c:v>0.508333333</c:v>
                </c:pt>
                <c:pt idx="29">
                  <c:v>0.513888889</c:v>
                </c:pt>
                <c:pt idx="30">
                  <c:v>0.519444444</c:v>
                </c:pt>
                <c:pt idx="31">
                  <c:v>0.525</c:v>
                </c:pt>
                <c:pt idx="32">
                  <c:v>0.530555556</c:v>
                </c:pt>
                <c:pt idx="33">
                  <c:v>0.536111111</c:v>
                </c:pt>
                <c:pt idx="34">
                  <c:v>0.538888889</c:v>
                </c:pt>
                <c:pt idx="35">
                  <c:v>0.541666667</c:v>
                </c:pt>
                <c:pt idx="36">
                  <c:v>0.547222222</c:v>
                </c:pt>
                <c:pt idx="37">
                  <c:v>0.552777778</c:v>
                </c:pt>
                <c:pt idx="38">
                  <c:v>0.558333333</c:v>
                </c:pt>
                <c:pt idx="39">
                  <c:v>0.563888889</c:v>
                </c:pt>
                <c:pt idx="40">
                  <c:v>0.569444444</c:v>
                </c:pt>
                <c:pt idx="41">
                  <c:v>0.575</c:v>
                </c:pt>
                <c:pt idx="42">
                  <c:v>0.580555556</c:v>
                </c:pt>
                <c:pt idx="43">
                  <c:v>0.586111111</c:v>
                </c:pt>
                <c:pt idx="44">
                  <c:v>0.591666667</c:v>
                </c:pt>
                <c:pt idx="45">
                  <c:v>0.597222222</c:v>
                </c:pt>
                <c:pt idx="46">
                  <c:v>0.602777778</c:v>
                </c:pt>
                <c:pt idx="47">
                  <c:v>0.608333333</c:v>
                </c:pt>
                <c:pt idx="48">
                  <c:v>0.613888889</c:v>
                </c:pt>
                <c:pt idx="49">
                  <c:v>0.619444444</c:v>
                </c:pt>
                <c:pt idx="50">
                  <c:v>0.625</c:v>
                </c:pt>
                <c:pt idx="51">
                  <c:v>0.630555556</c:v>
                </c:pt>
                <c:pt idx="52">
                  <c:v>0.636111111</c:v>
                </c:pt>
                <c:pt idx="53">
                  <c:v>0.641666667</c:v>
                </c:pt>
                <c:pt idx="54">
                  <c:v>0.647222222</c:v>
                </c:pt>
                <c:pt idx="55">
                  <c:v>0.652777778</c:v>
                </c:pt>
                <c:pt idx="56">
                  <c:v>0.658333333</c:v>
                </c:pt>
                <c:pt idx="57">
                  <c:v>0.663888889</c:v>
                </c:pt>
                <c:pt idx="58">
                  <c:v>0.669444444</c:v>
                </c:pt>
                <c:pt idx="59">
                  <c:v>0.675</c:v>
                </c:pt>
                <c:pt idx="60">
                  <c:v>0.680555556</c:v>
                </c:pt>
                <c:pt idx="61">
                  <c:v>0.686111111</c:v>
                </c:pt>
                <c:pt idx="62">
                  <c:v>0.691666667</c:v>
                </c:pt>
                <c:pt idx="63">
                  <c:v>0.697222222</c:v>
                </c:pt>
                <c:pt idx="64">
                  <c:v>0.702777778</c:v>
                </c:pt>
                <c:pt idx="65">
                  <c:v>0.708333333</c:v>
                </c:pt>
                <c:pt idx="66">
                  <c:v>0.713888889</c:v>
                </c:pt>
                <c:pt idx="67">
                  <c:v>0.719444444</c:v>
                </c:pt>
                <c:pt idx="68">
                  <c:v>0.725</c:v>
                </c:pt>
                <c:pt idx="69">
                  <c:v>0.730555556</c:v>
                </c:pt>
                <c:pt idx="70">
                  <c:v>0.736111111</c:v>
                </c:pt>
                <c:pt idx="71">
                  <c:v>0.741666667</c:v>
                </c:pt>
                <c:pt idx="72">
                  <c:v>0.747222222</c:v>
                </c:pt>
                <c:pt idx="73">
                  <c:v>0.752777778</c:v>
                </c:pt>
                <c:pt idx="74">
                  <c:v>0.758333333</c:v>
                </c:pt>
                <c:pt idx="75">
                  <c:v>0.763888889</c:v>
                </c:pt>
                <c:pt idx="76">
                  <c:v>0.769444444</c:v>
                </c:pt>
                <c:pt idx="77">
                  <c:v>0.775</c:v>
                </c:pt>
                <c:pt idx="78">
                  <c:v>0.780555556</c:v>
                </c:pt>
                <c:pt idx="79">
                  <c:v>0.786111111</c:v>
                </c:pt>
                <c:pt idx="80">
                  <c:v>0.788888889</c:v>
                </c:pt>
                <c:pt idx="81">
                  <c:v>0.791666667</c:v>
                </c:pt>
                <c:pt idx="82">
                  <c:v>0.797222222</c:v>
                </c:pt>
                <c:pt idx="83">
                  <c:v>0.802777778</c:v>
                </c:pt>
                <c:pt idx="84">
                  <c:v>0.808333333</c:v>
                </c:pt>
                <c:pt idx="85">
                  <c:v>0.813888889</c:v>
                </c:pt>
                <c:pt idx="86">
                  <c:v>0.819444444</c:v>
                </c:pt>
                <c:pt idx="87">
                  <c:v>0.825</c:v>
                </c:pt>
                <c:pt idx="88">
                  <c:v>0.830555556</c:v>
                </c:pt>
                <c:pt idx="89">
                  <c:v>0.836111111</c:v>
                </c:pt>
                <c:pt idx="90">
                  <c:v>0.841666667</c:v>
                </c:pt>
                <c:pt idx="91">
                  <c:v>0.847222222</c:v>
                </c:pt>
                <c:pt idx="92">
                  <c:v>0.852777778</c:v>
                </c:pt>
                <c:pt idx="93">
                  <c:v>0.858333333</c:v>
                </c:pt>
                <c:pt idx="94">
                  <c:v>0.863888889</c:v>
                </c:pt>
                <c:pt idx="95">
                  <c:v>0.869444444</c:v>
                </c:pt>
                <c:pt idx="96">
                  <c:v>0.875</c:v>
                </c:pt>
                <c:pt idx="97">
                  <c:v>0.880555556</c:v>
                </c:pt>
                <c:pt idx="98">
                  <c:v>0.886111111</c:v>
                </c:pt>
                <c:pt idx="99">
                  <c:v>0.891666667</c:v>
                </c:pt>
                <c:pt idx="100">
                  <c:v>0.897222222</c:v>
                </c:pt>
                <c:pt idx="101">
                  <c:v>0.902777778</c:v>
                </c:pt>
                <c:pt idx="102">
                  <c:v>0.908333333</c:v>
                </c:pt>
                <c:pt idx="103">
                  <c:v>0.913888889</c:v>
                </c:pt>
                <c:pt idx="104">
                  <c:v>0.919444444</c:v>
                </c:pt>
                <c:pt idx="105">
                  <c:v>0.925</c:v>
                </c:pt>
                <c:pt idx="106">
                  <c:v>0.930555556</c:v>
                </c:pt>
                <c:pt idx="107">
                  <c:v>0.936111111</c:v>
                </c:pt>
                <c:pt idx="108">
                  <c:v>0.941666667</c:v>
                </c:pt>
                <c:pt idx="109">
                  <c:v>0.947222222</c:v>
                </c:pt>
                <c:pt idx="110">
                  <c:v>0.952777778</c:v>
                </c:pt>
                <c:pt idx="111">
                  <c:v>0.958333333</c:v>
                </c:pt>
                <c:pt idx="112">
                  <c:v>0.963888889</c:v>
                </c:pt>
                <c:pt idx="113">
                  <c:v>0.969444444</c:v>
                </c:pt>
                <c:pt idx="114">
                  <c:v>0.975</c:v>
                </c:pt>
                <c:pt idx="115">
                  <c:v>0.980555556</c:v>
                </c:pt>
                <c:pt idx="116">
                  <c:v>0.986111111</c:v>
                </c:pt>
                <c:pt idx="117">
                  <c:v>0.991666667</c:v>
                </c:pt>
                <c:pt idx="118">
                  <c:v>0.997222222</c:v>
                </c:pt>
                <c:pt idx="119">
                  <c:v>1.002777778</c:v>
                </c:pt>
                <c:pt idx="120">
                  <c:v>1.008333333</c:v>
                </c:pt>
                <c:pt idx="121">
                  <c:v>1.013888889</c:v>
                </c:pt>
                <c:pt idx="122">
                  <c:v>1.019444444</c:v>
                </c:pt>
                <c:pt idx="123">
                  <c:v>1.025</c:v>
                </c:pt>
                <c:pt idx="124">
                  <c:v>1.030555556</c:v>
                </c:pt>
                <c:pt idx="125">
                  <c:v>1.036111111</c:v>
                </c:pt>
                <c:pt idx="126">
                  <c:v>1.041666667</c:v>
                </c:pt>
                <c:pt idx="127">
                  <c:v>1.047222222</c:v>
                </c:pt>
                <c:pt idx="128">
                  <c:v>1.052777778</c:v>
                </c:pt>
                <c:pt idx="129">
                  <c:v>1.058333333</c:v>
                </c:pt>
                <c:pt idx="130">
                  <c:v>1.063888889</c:v>
                </c:pt>
                <c:pt idx="131">
                  <c:v>1.069444444</c:v>
                </c:pt>
                <c:pt idx="132">
                  <c:v>1.075</c:v>
                </c:pt>
                <c:pt idx="133">
                  <c:v>1.080555556</c:v>
                </c:pt>
                <c:pt idx="134">
                  <c:v>1.086111111</c:v>
                </c:pt>
                <c:pt idx="135">
                  <c:v>1.091666667</c:v>
                </c:pt>
                <c:pt idx="136">
                  <c:v>1.097222222</c:v>
                </c:pt>
                <c:pt idx="137">
                  <c:v>1.102777778</c:v>
                </c:pt>
                <c:pt idx="138">
                  <c:v>1.108333333</c:v>
                </c:pt>
                <c:pt idx="139">
                  <c:v>1.113888889</c:v>
                </c:pt>
                <c:pt idx="140">
                  <c:v>1.119444444</c:v>
                </c:pt>
                <c:pt idx="141">
                  <c:v>1.125</c:v>
                </c:pt>
                <c:pt idx="142">
                  <c:v>1.130555556</c:v>
                </c:pt>
                <c:pt idx="143">
                  <c:v>1.136111111</c:v>
                </c:pt>
                <c:pt idx="144">
                  <c:v>1.141666667</c:v>
                </c:pt>
                <c:pt idx="145">
                  <c:v>1.147222222</c:v>
                </c:pt>
                <c:pt idx="146">
                  <c:v>1.152777778</c:v>
                </c:pt>
                <c:pt idx="147">
                  <c:v>1.158333333</c:v>
                </c:pt>
                <c:pt idx="148">
                  <c:v>1.163888889</c:v>
                </c:pt>
                <c:pt idx="149">
                  <c:v>1.169444444</c:v>
                </c:pt>
                <c:pt idx="150">
                  <c:v>1.175</c:v>
                </c:pt>
                <c:pt idx="151">
                  <c:v>1.180555556</c:v>
                </c:pt>
                <c:pt idx="152">
                  <c:v>1.186111111</c:v>
                </c:pt>
                <c:pt idx="153">
                  <c:v>1.191666667</c:v>
                </c:pt>
                <c:pt idx="154">
                  <c:v>1.197222222</c:v>
                </c:pt>
                <c:pt idx="155">
                  <c:v>1.202777778</c:v>
                </c:pt>
                <c:pt idx="156">
                  <c:v>1.208333333</c:v>
                </c:pt>
                <c:pt idx="157">
                  <c:v>1.213888889</c:v>
                </c:pt>
                <c:pt idx="158">
                  <c:v>1.219444444</c:v>
                </c:pt>
                <c:pt idx="159">
                  <c:v>1.225</c:v>
                </c:pt>
                <c:pt idx="160">
                  <c:v>1.230555556</c:v>
                </c:pt>
                <c:pt idx="161">
                  <c:v>1.236111111</c:v>
                </c:pt>
                <c:pt idx="162">
                  <c:v>1.241666667</c:v>
                </c:pt>
                <c:pt idx="163">
                  <c:v>1.247222222</c:v>
                </c:pt>
                <c:pt idx="164">
                  <c:v>1.252777778</c:v>
                </c:pt>
                <c:pt idx="165">
                  <c:v>1.258333333</c:v>
                </c:pt>
                <c:pt idx="166">
                  <c:v>1.263888889</c:v>
                </c:pt>
                <c:pt idx="167">
                  <c:v>1.269444444</c:v>
                </c:pt>
                <c:pt idx="168">
                  <c:v>1.275</c:v>
                </c:pt>
                <c:pt idx="169">
                  <c:v>1.280555556</c:v>
                </c:pt>
                <c:pt idx="170">
                  <c:v>1.286111111</c:v>
                </c:pt>
                <c:pt idx="171">
                  <c:v>1.291666667</c:v>
                </c:pt>
                <c:pt idx="172">
                  <c:v>1.297222222</c:v>
                </c:pt>
                <c:pt idx="173">
                  <c:v>1.302777778</c:v>
                </c:pt>
                <c:pt idx="174">
                  <c:v>1.308333333</c:v>
                </c:pt>
                <c:pt idx="175">
                  <c:v>1.313888889</c:v>
                </c:pt>
                <c:pt idx="176">
                  <c:v>1.319444444</c:v>
                </c:pt>
                <c:pt idx="177">
                  <c:v>1.325</c:v>
                </c:pt>
                <c:pt idx="178">
                  <c:v>1.330555556</c:v>
                </c:pt>
                <c:pt idx="179">
                  <c:v>1.336111111</c:v>
                </c:pt>
                <c:pt idx="180">
                  <c:v>1.341666667</c:v>
                </c:pt>
                <c:pt idx="181">
                  <c:v>1.347222222</c:v>
                </c:pt>
                <c:pt idx="182">
                  <c:v>1.352777778</c:v>
                </c:pt>
                <c:pt idx="183">
                  <c:v>1.358333333</c:v>
                </c:pt>
                <c:pt idx="184">
                  <c:v>1.363888889</c:v>
                </c:pt>
                <c:pt idx="185">
                  <c:v>1.369444444</c:v>
                </c:pt>
                <c:pt idx="186">
                  <c:v>1.375</c:v>
                </c:pt>
              </c:strCache>
            </c:strRef>
          </c:cat>
          <c:val>
            <c:numRef>
              <c:f>[1]Feuil1!$B$2:$B$187</c:f>
              <c:numCache>
                <c:formatCode>General</c:formatCode>
                <c:ptCount val="186"/>
                <c:pt idx="0">
                  <c:v>36.785156259734954</c:v>
                </c:pt>
                <c:pt idx="1">
                  <c:v>36.799951006484115</c:v>
                </c:pt>
                <c:pt idx="2">
                  <c:v>36.815021135212611</c:v>
                </c:pt>
                <c:pt idx="3">
                  <c:v>36.830348285283861</c:v>
                </c:pt>
                <c:pt idx="4">
                  <c:v>36.845913782920277</c:v>
                </c:pt>
                <c:pt idx="5">
                  <c:v>36.861698663954364</c:v>
                </c:pt>
                <c:pt idx="6">
                  <c:v>36.87768369693368</c:v>
                </c:pt>
                <c:pt idx="7">
                  <c:v>36.893849406551375</c:v>
                </c:pt>
                <c:pt idx="8">
                  <c:v>36.910176097373878</c:v>
                </c:pt>
                <c:pt idx="9">
                  <c:v>36.926643877836746</c:v>
                </c:pt>
                <c:pt idx="10">
                  <c:v>36.943232684479497</c:v>
                </c:pt>
                <c:pt idx="11">
                  <c:v>36.959922306389828</c:v>
                </c:pt>
                <c:pt idx="12">
                  <c:v>36.976692409827542</c:v>
                </c:pt>
                <c:pt idx="13">
                  <c:v>36.993522562998038</c:v>
                </c:pt>
                <c:pt idx="14">
                  <c:v>37.010392260945366</c:v>
                </c:pt>
                <c:pt idx="15">
                  <c:v>37.027280950534326</c:v>
                </c:pt>
                <c:pt idx="16">
                  <c:v>37.044168055491326</c:v>
                </c:pt>
                <c:pt idx="17">
                  <c:v>37.061033001473398</c:v>
                </c:pt>
                <c:pt idx="18">
                  <c:v>37.077855241134898</c:v>
                </c:pt>
                <c:pt idx="19">
                  <c:v>37.094614279161256</c:v>
                </c:pt>
                <c:pt idx="20">
                  <c:v>37.111289697239378</c:v>
                </c:pt>
                <c:pt idx="21">
                  <c:v>37.127861178934261</c:v>
                </c:pt>
                <c:pt idx="22">
                  <c:v>37.144308534441379</c:v>
                </c:pt>
                <c:pt idx="23">
                  <c:v>37.160611725184928</c:v>
                </c:pt>
                <c:pt idx="24">
                  <c:v>37.176750888231695</c:v>
                </c:pt>
                <c:pt idx="25">
                  <c:v>37.192706360491037</c:v>
                </c:pt>
                <c:pt idx="26">
                  <c:v>37.208458702671287</c:v>
                </c:pt>
                <c:pt idx="27">
                  <c:v>37.223988722963604</c:v>
                </c:pt>
                <c:pt idx="28">
                  <c:v>37.239277500424194</c:v>
                </c:pt>
                <c:pt idx="29">
                  <c:v>37.254306408026586</c:v>
                </c:pt>
                <c:pt idx="30">
                  <c:v>37.26171767564589</c:v>
                </c:pt>
                <c:pt idx="31">
                  <c:v>37.269057135355808</c:v>
                </c:pt>
                <c:pt idx="32">
                  <c:v>37.283511710916834</c:v>
                </c:pt>
                <c:pt idx="33">
                  <c:v>37.297652524030035</c:v>
                </c:pt>
                <c:pt idx="34">
                  <c:v>37.311462346287151</c:v>
                </c:pt>
                <c:pt idx="35">
                  <c:v>37.324924352541409</c:v>
                </c:pt>
                <c:pt idx="36">
                  <c:v>37.338022141406398</c:v>
                </c:pt>
                <c:pt idx="37">
                  <c:v>37.350739755238664</c:v>
                </c:pt>
                <c:pt idx="38">
                  <c:v>37.363061699579589</c:v>
                </c:pt>
                <c:pt idx="39">
                  <c:v>37.37497296203307</c:v>
                </c:pt>
                <c:pt idx="40">
                  <c:v>37.386459030555777</c:v>
                </c:pt>
                <c:pt idx="41">
                  <c:v>37.397505911137856</c:v>
                </c:pt>
                <c:pt idx="42">
                  <c:v>37.408100144852497</c:v>
                </c:pt>
                <c:pt idx="43">
                  <c:v>37.418228824253546</c:v>
                </c:pt>
                <c:pt idx="44">
                  <c:v>37.427879609101261</c:v>
                </c:pt>
                <c:pt idx="45">
                  <c:v>37.437040741396984</c:v>
                </c:pt>
                <c:pt idx="46">
                  <c:v>37.445701059708476</c:v>
                </c:pt>
                <c:pt idx="47">
                  <c:v>37.453850012768399</c:v>
                </c:pt>
                <c:pt idx="48">
                  <c:v>37.461477672329387</c:v>
                </c:pt>
                <c:pt idx="49">
                  <c:v>37.468574745260142</c:v>
                </c:pt>
                <c:pt idx="50">
                  <c:v>37.475132584867637</c:v>
                </c:pt>
                <c:pt idx="51">
                  <c:v>37.481143201431827</c:v>
                </c:pt>
                <c:pt idx="52">
                  <c:v>37.486599271939852</c:v>
                </c:pt>
                <c:pt idx="53">
                  <c:v>37.491494149008041</c:v>
                </c:pt>
                <c:pt idx="54">
                  <c:v>37.495821868980698</c:v>
                </c:pt>
                <c:pt idx="55">
                  <c:v>37.49957715919593</c:v>
                </c:pt>
                <c:pt idx="56">
                  <c:v>37.50275544440953</c:v>
                </c:pt>
                <c:pt idx="57">
                  <c:v>37.505352852369278</c:v>
                </c:pt>
                <c:pt idx="58">
                  <c:v>37.50736621853261</c:v>
                </c:pt>
                <c:pt idx="59">
                  <c:v>37.508793089922179</c:v>
                </c:pt>
                <c:pt idx="60">
                  <c:v>37.509631728114421</c:v>
                </c:pt>
                <c:pt idx="61">
                  <c:v>37.509881111357529</c:v>
                </c:pt>
                <c:pt idx="62">
                  <c:v>37.509540935816347</c:v>
                </c:pt>
                <c:pt idx="63">
                  <c:v>37.508611615942499</c:v>
                </c:pt>
                <c:pt idx="64">
                  <c:v>37.507094283969487</c:v>
                </c:pt>
                <c:pt idx="65">
                  <c:v>37.504990788533199</c:v>
                </c:pt>
                <c:pt idx="66">
                  <c:v>37.502303692419659</c:v>
                </c:pt>
                <c:pt idx="67">
                  <c:v>37.499036269442648</c:v>
                </c:pt>
                <c:pt idx="68">
                  <c:v>37.495192500455083</c:v>
                </c:pt>
                <c:pt idx="69">
                  <c:v>37.49077706849895</c:v>
                </c:pt>
                <c:pt idx="70">
                  <c:v>37.485795353099711</c:v>
                </c:pt>
                <c:pt idx="71">
                  <c:v>37.480253423712234</c:v>
                </c:pt>
                <c:pt idx="72">
                  <c:v>37.474158032326052</c:v>
                </c:pt>
                <c:pt idx="73">
                  <c:v>37.467516605239098</c:v>
                </c:pt>
                <c:pt idx="74">
                  <c:v>37.460337234009948</c:v>
                </c:pt>
                <c:pt idx="75">
                  <c:v>37.452628665599441</c:v>
                </c:pt>
                <c:pt idx="76">
                  <c:v>37.448578842481595</c:v>
                </c:pt>
                <c:pt idx="77">
                  <c:v>37.44440029171389</c:v>
                </c:pt>
                <c:pt idx="78">
                  <c:v>37.435662137362719</c:v>
                </c:pt>
                <c:pt idx="79">
                  <c:v>37.426424848644537</c:v>
                </c:pt>
                <c:pt idx="80">
                  <c:v>37.416699679776485</c:v>
                </c:pt>
                <c:pt idx="81">
                  <c:v>37.406498479382712</c:v>
                </c:pt>
                <c:pt idx="82">
                  <c:v>37.39583367605865</c:v>
                </c:pt>
                <c:pt idx="83">
                  <c:v>37.384718263228685</c:v>
                </c:pt>
                <c:pt idx="84">
                  <c:v>37.373165783315642</c:v>
                </c:pt>
                <c:pt idx="85">
                  <c:v>37.361190311241444</c:v>
                </c:pt>
                <c:pt idx="86">
                  <c:v>37.348806437278988</c:v>
                </c:pt>
                <c:pt idx="87">
                  <c:v>37.336029249276102</c:v>
                </c:pt>
                <c:pt idx="88">
                  <c:v>37.322874314273371</c:v>
                </c:pt>
                <c:pt idx="89">
                  <c:v>37.309357659538058</c:v>
                </c:pt>
                <c:pt idx="90">
                  <c:v>37.295495753037336</c:v>
                </c:pt>
                <c:pt idx="91">
                  <c:v>37.281305483374624</c:v>
                </c:pt>
                <c:pt idx="92">
                  <c:v>37.266804139213406</c:v>
                </c:pt>
                <c:pt idx="93">
                  <c:v>37.252009388213644</c:v>
                </c:pt>
                <c:pt idx="94">
                  <c:v>37.236939255506464</c:v>
                </c:pt>
                <c:pt idx="95">
                  <c:v>37.221612101733278</c:v>
                </c:pt>
                <c:pt idx="96">
                  <c:v>37.20604660067621</c:v>
                </c:pt>
                <c:pt idx="97">
                  <c:v>37.190261716506903</c:v>
                </c:pt>
                <c:pt idx="98">
                  <c:v>37.174276680681636</c:v>
                </c:pt>
                <c:pt idx="99">
                  <c:v>37.158110968510705</c:v>
                </c:pt>
                <c:pt idx="100">
                  <c:v>37.141784275430808</c:v>
                </c:pt>
                <c:pt idx="101">
                  <c:v>37.12531649300913</c:v>
                </c:pt>
                <c:pt idx="102">
                  <c:v>37.108727684708548</c:v>
                </c:pt>
                <c:pt idx="103">
                  <c:v>37.092038061443368</c:v>
                </c:pt>
                <c:pt idx="104">
                  <c:v>37.075267956955457</c:v>
                </c:pt>
                <c:pt idx="105">
                  <c:v>37.058437803040682</c:v>
                </c:pt>
                <c:pt idx="106">
                  <c:v>37.041568104655916</c:v>
                </c:pt>
                <c:pt idx="107">
                  <c:v>37.02467941493687</c:v>
                </c:pt>
                <c:pt idx="108">
                  <c:v>37.007792310157313</c:v>
                </c:pt>
                <c:pt idx="109">
                  <c:v>36.990927364659981</c:v>
                </c:pt>
                <c:pt idx="110">
                  <c:v>36.974105125789947</c:v>
                </c:pt>
                <c:pt idx="111">
                  <c:v>36.957346088860803</c:v>
                </c:pt>
                <c:pt idx="112">
                  <c:v>36.940670672184297</c:v>
                </c:pt>
                <c:pt idx="113">
                  <c:v>36.924099192193751</c:v>
                </c:pt>
                <c:pt idx="114">
                  <c:v>36.907651838691592</c:v>
                </c:pt>
                <c:pt idx="115">
                  <c:v>36.891348650251189</c:v>
                </c:pt>
                <c:pt idx="116">
                  <c:v>36.875209489802948</c:v>
                </c:pt>
                <c:pt idx="117">
                  <c:v>36.859254020434356</c:v>
                </c:pt>
                <c:pt idx="118">
                  <c:v>36.843501681433537</c:v>
                </c:pt>
                <c:pt idx="119">
                  <c:v>36.827971664605478</c:v>
                </c:pt>
                <c:pt idx="120">
                  <c:v>36.812682890889747</c:v>
                </c:pt>
                <c:pt idx="121">
                  <c:v>36.797653987308244</c:v>
                </c:pt>
                <c:pt idx="122">
                  <c:v>36.782903264271049</c:v>
                </c:pt>
                <c:pt idx="123">
                  <c:v>36.768448693267963</c:v>
                </c:pt>
                <c:pt idx="124">
                  <c:v>36.754307884973045</c:v>
                </c:pt>
                <c:pt idx="125">
                  <c:v>36.740498067788714</c:v>
                </c:pt>
                <c:pt idx="126">
                  <c:v>36.727036066855533</c:v>
                </c:pt>
                <c:pt idx="127">
                  <c:v>36.713938283553446</c:v>
                </c:pt>
                <c:pt idx="128">
                  <c:v>36.701220675519131</c:v>
                </c:pt>
                <c:pt idx="129">
                  <c:v>36.688898737204127</c:v>
                </c:pt>
                <c:pt idx="130">
                  <c:v>36.676987480997212</c:v>
                </c:pt>
                <c:pt idx="131">
                  <c:v>36.665501418934099</c:v>
                </c:pt>
                <c:pt idx="132">
                  <c:v>36.654454545016762</c:v>
                </c:pt>
                <c:pt idx="133">
                  <c:v>36.64386031816391</c:v>
                </c:pt>
                <c:pt idx="134">
                  <c:v>36.633731645813327</c:v>
                </c:pt>
                <c:pt idx="135">
                  <c:v>36.624080868196174</c:v>
                </c:pt>
                <c:pt idx="136">
                  <c:v>36.614919743302274</c:v>
                </c:pt>
                <c:pt idx="137">
                  <c:v>36.606259432554872</c:v>
                </c:pt>
                <c:pt idx="138">
                  <c:v>36.598110487212097</c:v>
                </c:pt>
                <c:pt idx="139">
                  <c:v>36.590482835511885</c:v>
                </c:pt>
                <c:pt idx="140">
                  <c:v>36.58338577057598</c:v>
                </c:pt>
                <c:pt idx="141">
                  <c:v>36.57682793908765</c:v>
                </c:pt>
                <c:pt idx="142">
                  <c:v>36.570817330757066</c:v>
                </c:pt>
                <c:pt idx="143">
                  <c:v>36.56536126858704</c:v>
                </c:pt>
                <c:pt idx="144">
                  <c:v>36.560466399951103</c:v>
                </c:pt>
                <c:pt idx="145">
                  <c:v>36.556138688494663</c:v>
                </c:pt>
                <c:pt idx="146">
                  <c:v>36.552383406869247</c:v>
                </c:pt>
                <c:pt idx="147">
                  <c:v>36.549205130308586</c:v>
                </c:pt>
                <c:pt idx="148">
                  <c:v>36.546607731054365</c:v>
                </c:pt>
                <c:pt idx="149">
                  <c:v>36.544594373638546</c:v>
                </c:pt>
                <c:pt idx="150">
                  <c:v>36.543167511027804</c:v>
                </c:pt>
                <c:pt idx="151">
                  <c:v>36.542328881635022</c:v>
                </c:pt>
                <c:pt idx="152">
                  <c:v>36.542079507201272</c:v>
                </c:pt>
                <c:pt idx="153">
                  <c:v>36.542419691550997</c:v>
                </c:pt>
                <c:pt idx="154">
                  <c:v>36.543349020221818</c:v>
                </c:pt>
                <c:pt idx="155">
                  <c:v>36.544866360969536</c:v>
                </c:pt>
                <c:pt idx="156">
                  <c:v>36.54696986514756</c:v>
                </c:pt>
                <c:pt idx="157">
                  <c:v>36.549656969959216</c:v>
                </c:pt>
                <c:pt idx="158">
                  <c:v>36.552924401580128</c:v>
                </c:pt>
                <c:pt idx="159">
                  <c:v>36.556768179146843</c:v>
                </c:pt>
                <c:pt idx="160">
                  <c:v>36.561183619606943</c:v>
                </c:pt>
                <c:pt idx="161">
                  <c:v>36.566165343424579</c:v>
                </c:pt>
                <c:pt idx="162">
                  <c:v>36.571707281134636</c:v>
                </c:pt>
                <c:pt idx="163">
                  <c:v>36.577802680737449</c:v>
                </c:pt>
                <c:pt idx="164">
                  <c:v>36.584444115925059</c:v>
                </c:pt>
                <c:pt idx="165">
                  <c:v>36.591623495129042</c:v>
                </c:pt>
                <c:pt idx="166">
                  <c:v>36.599332071378825</c:v>
                </c:pt>
                <c:pt idx="167">
                  <c:v>36.607560452958545</c:v>
                </c:pt>
                <c:pt idx="168">
                  <c:v>36.616298614849406</c:v>
                </c:pt>
                <c:pt idx="169">
                  <c:v>36.625535910943626</c:v>
                </c:pt>
                <c:pt idx="170">
                  <c:v>36.63526108701506</c:v>
                </c:pt>
                <c:pt idx="171">
                  <c:v>36.645462294430793</c:v>
                </c:pt>
                <c:pt idx="172">
                  <c:v>36.656127104586822</c:v>
                </c:pt>
                <c:pt idx="173">
                  <c:v>36.667242524050465</c:v>
                </c:pt>
                <c:pt idx="174">
                  <c:v>36.678795010390793</c:v>
                </c:pt>
                <c:pt idx="175">
                  <c:v>36.690770488678055</c:v>
                </c:pt>
                <c:pt idx="176">
                  <c:v>36.7031543686318</c:v>
                </c:pt>
                <c:pt idx="177">
                  <c:v>36.715931562396875</c:v>
                </c:pt>
                <c:pt idx="178">
                  <c:v>36.729086502925696</c:v>
                </c:pt>
                <c:pt idx="179">
                  <c:v>36.742603162944263</c:v>
                </c:pt>
                <c:pt idx="180">
                  <c:v>36.75646507447896</c:v>
                </c:pt>
                <c:pt idx="181">
                  <c:v>36.770655348920229</c:v>
                </c:pt>
                <c:pt idx="182">
                  <c:v>36.785156697598786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1-473C-AC07-EFA7D2B5F84C}"/>
            </c:ext>
          </c:extLst>
        </c:ser>
        <c:ser>
          <c:idx val="1"/>
          <c:order val="1"/>
          <c:tx>
            <c:strRef>
              <c:f>[1]Feuil1!$C$1</c:f>
              <c:strCache>
                <c:ptCount val="1"/>
                <c:pt idx="0">
                  <c:v>Mean Tcore Day-Off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[1]Feuil1!$A:$A</c:f>
              <c:strCache>
                <c:ptCount val="1048576"/>
                <c:pt idx="0">
                  <c:v>Time</c:v>
                </c:pt>
                <c:pt idx="1">
                  <c:v>0.358333333</c:v>
                </c:pt>
                <c:pt idx="2">
                  <c:v>0.363888889</c:v>
                </c:pt>
                <c:pt idx="3">
                  <c:v>0.369444444</c:v>
                </c:pt>
                <c:pt idx="4">
                  <c:v>0.375</c:v>
                </c:pt>
                <c:pt idx="5">
                  <c:v>0.380555556</c:v>
                </c:pt>
                <c:pt idx="6">
                  <c:v>0.386111111</c:v>
                </c:pt>
                <c:pt idx="7">
                  <c:v>0.391666667</c:v>
                </c:pt>
                <c:pt idx="8">
                  <c:v>0.397222222</c:v>
                </c:pt>
                <c:pt idx="9">
                  <c:v>0.402777778</c:v>
                </c:pt>
                <c:pt idx="10">
                  <c:v>0.408333333</c:v>
                </c:pt>
                <c:pt idx="11">
                  <c:v>0.413888889</c:v>
                </c:pt>
                <c:pt idx="12">
                  <c:v>0.419444444</c:v>
                </c:pt>
                <c:pt idx="13">
                  <c:v>0.425</c:v>
                </c:pt>
                <c:pt idx="14">
                  <c:v>0.430555556</c:v>
                </c:pt>
                <c:pt idx="15">
                  <c:v>0.436111111</c:v>
                </c:pt>
                <c:pt idx="16">
                  <c:v>0.441666667</c:v>
                </c:pt>
                <c:pt idx="17">
                  <c:v>0.447222222</c:v>
                </c:pt>
                <c:pt idx="18">
                  <c:v>0.452777778</c:v>
                </c:pt>
                <c:pt idx="19">
                  <c:v>0.458333333</c:v>
                </c:pt>
                <c:pt idx="20">
                  <c:v>0.463888889</c:v>
                </c:pt>
                <c:pt idx="21">
                  <c:v>0.469444444</c:v>
                </c:pt>
                <c:pt idx="22">
                  <c:v>0.475</c:v>
                </c:pt>
                <c:pt idx="23">
                  <c:v>0.480555556</c:v>
                </c:pt>
                <c:pt idx="24">
                  <c:v>0.486111111</c:v>
                </c:pt>
                <c:pt idx="25">
                  <c:v>0.491666667</c:v>
                </c:pt>
                <c:pt idx="26">
                  <c:v>0.497222222</c:v>
                </c:pt>
                <c:pt idx="27">
                  <c:v>0.502777778</c:v>
                </c:pt>
                <c:pt idx="28">
                  <c:v>0.508333333</c:v>
                </c:pt>
                <c:pt idx="29">
                  <c:v>0.513888889</c:v>
                </c:pt>
                <c:pt idx="30">
                  <c:v>0.519444444</c:v>
                </c:pt>
                <c:pt idx="31">
                  <c:v>0.525</c:v>
                </c:pt>
                <c:pt idx="32">
                  <c:v>0.530555556</c:v>
                </c:pt>
                <c:pt idx="33">
                  <c:v>0.536111111</c:v>
                </c:pt>
                <c:pt idx="34">
                  <c:v>0.538888889</c:v>
                </c:pt>
                <c:pt idx="35">
                  <c:v>0.541666667</c:v>
                </c:pt>
                <c:pt idx="36">
                  <c:v>0.547222222</c:v>
                </c:pt>
                <c:pt idx="37">
                  <c:v>0.552777778</c:v>
                </c:pt>
                <c:pt idx="38">
                  <c:v>0.558333333</c:v>
                </c:pt>
                <c:pt idx="39">
                  <c:v>0.563888889</c:v>
                </c:pt>
                <c:pt idx="40">
                  <c:v>0.569444444</c:v>
                </c:pt>
                <c:pt idx="41">
                  <c:v>0.575</c:v>
                </c:pt>
                <c:pt idx="42">
                  <c:v>0.580555556</c:v>
                </c:pt>
                <c:pt idx="43">
                  <c:v>0.586111111</c:v>
                </c:pt>
                <c:pt idx="44">
                  <c:v>0.591666667</c:v>
                </c:pt>
                <c:pt idx="45">
                  <c:v>0.597222222</c:v>
                </c:pt>
                <c:pt idx="46">
                  <c:v>0.602777778</c:v>
                </c:pt>
                <c:pt idx="47">
                  <c:v>0.608333333</c:v>
                </c:pt>
                <c:pt idx="48">
                  <c:v>0.613888889</c:v>
                </c:pt>
                <c:pt idx="49">
                  <c:v>0.619444444</c:v>
                </c:pt>
                <c:pt idx="50">
                  <c:v>0.625</c:v>
                </c:pt>
                <c:pt idx="51">
                  <c:v>0.630555556</c:v>
                </c:pt>
                <c:pt idx="52">
                  <c:v>0.636111111</c:v>
                </c:pt>
                <c:pt idx="53">
                  <c:v>0.641666667</c:v>
                </c:pt>
                <c:pt idx="54">
                  <c:v>0.647222222</c:v>
                </c:pt>
                <c:pt idx="55">
                  <c:v>0.652777778</c:v>
                </c:pt>
                <c:pt idx="56">
                  <c:v>0.658333333</c:v>
                </c:pt>
                <c:pt idx="57">
                  <c:v>0.663888889</c:v>
                </c:pt>
                <c:pt idx="58">
                  <c:v>0.669444444</c:v>
                </c:pt>
                <c:pt idx="59">
                  <c:v>0.675</c:v>
                </c:pt>
                <c:pt idx="60">
                  <c:v>0.680555556</c:v>
                </c:pt>
                <c:pt idx="61">
                  <c:v>0.686111111</c:v>
                </c:pt>
                <c:pt idx="62">
                  <c:v>0.691666667</c:v>
                </c:pt>
                <c:pt idx="63">
                  <c:v>0.697222222</c:v>
                </c:pt>
                <c:pt idx="64">
                  <c:v>0.702777778</c:v>
                </c:pt>
                <c:pt idx="65">
                  <c:v>0.708333333</c:v>
                </c:pt>
                <c:pt idx="66">
                  <c:v>0.713888889</c:v>
                </c:pt>
                <c:pt idx="67">
                  <c:v>0.719444444</c:v>
                </c:pt>
                <c:pt idx="68">
                  <c:v>0.725</c:v>
                </c:pt>
                <c:pt idx="69">
                  <c:v>0.730555556</c:v>
                </c:pt>
                <c:pt idx="70">
                  <c:v>0.736111111</c:v>
                </c:pt>
                <c:pt idx="71">
                  <c:v>0.741666667</c:v>
                </c:pt>
                <c:pt idx="72">
                  <c:v>0.747222222</c:v>
                </c:pt>
                <c:pt idx="73">
                  <c:v>0.752777778</c:v>
                </c:pt>
                <c:pt idx="74">
                  <c:v>0.758333333</c:v>
                </c:pt>
                <c:pt idx="75">
                  <c:v>0.763888889</c:v>
                </c:pt>
                <c:pt idx="76">
                  <c:v>0.769444444</c:v>
                </c:pt>
                <c:pt idx="77">
                  <c:v>0.775</c:v>
                </c:pt>
                <c:pt idx="78">
                  <c:v>0.780555556</c:v>
                </c:pt>
                <c:pt idx="79">
                  <c:v>0.786111111</c:v>
                </c:pt>
                <c:pt idx="80">
                  <c:v>0.788888889</c:v>
                </c:pt>
                <c:pt idx="81">
                  <c:v>0.791666667</c:v>
                </c:pt>
                <c:pt idx="82">
                  <c:v>0.797222222</c:v>
                </c:pt>
                <c:pt idx="83">
                  <c:v>0.802777778</c:v>
                </c:pt>
                <c:pt idx="84">
                  <c:v>0.808333333</c:v>
                </c:pt>
                <c:pt idx="85">
                  <c:v>0.813888889</c:v>
                </c:pt>
                <c:pt idx="86">
                  <c:v>0.819444444</c:v>
                </c:pt>
                <c:pt idx="87">
                  <c:v>0.825</c:v>
                </c:pt>
                <c:pt idx="88">
                  <c:v>0.830555556</c:v>
                </c:pt>
                <c:pt idx="89">
                  <c:v>0.836111111</c:v>
                </c:pt>
                <c:pt idx="90">
                  <c:v>0.841666667</c:v>
                </c:pt>
                <c:pt idx="91">
                  <c:v>0.847222222</c:v>
                </c:pt>
                <c:pt idx="92">
                  <c:v>0.852777778</c:v>
                </c:pt>
                <c:pt idx="93">
                  <c:v>0.858333333</c:v>
                </c:pt>
                <c:pt idx="94">
                  <c:v>0.863888889</c:v>
                </c:pt>
                <c:pt idx="95">
                  <c:v>0.869444444</c:v>
                </c:pt>
                <c:pt idx="96">
                  <c:v>0.875</c:v>
                </c:pt>
                <c:pt idx="97">
                  <c:v>0.880555556</c:v>
                </c:pt>
                <c:pt idx="98">
                  <c:v>0.886111111</c:v>
                </c:pt>
                <c:pt idx="99">
                  <c:v>0.891666667</c:v>
                </c:pt>
                <c:pt idx="100">
                  <c:v>0.897222222</c:v>
                </c:pt>
                <c:pt idx="101">
                  <c:v>0.902777778</c:v>
                </c:pt>
                <c:pt idx="102">
                  <c:v>0.908333333</c:v>
                </c:pt>
                <c:pt idx="103">
                  <c:v>0.913888889</c:v>
                </c:pt>
                <c:pt idx="104">
                  <c:v>0.919444444</c:v>
                </c:pt>
                <c:pt idx="105">
                  <c:v>0.925</c:v>
                </c:pt>
                <c:pt idx="106">
                  <c:v>0.930555556</c:v>
                </c:pt>
                <c:pt idx="107">
                  <c:v>0.936111111</c:v>
                </c:pt>
                <c:pt idx="108">
                  <c:v>0.941666667</c:v>
                </c:pt>
                <c:pt idx="109">
                  <c:v>0.947222222</c:v>
                </c:pt>
                <c:pt idx="110">
                  <c:v>0.952777778</c:v>
                </c:pt>
                <c:pt idx="111">
                  <c:v>0.958333333</c:v>
                </c:pt>
                <c:pt idx="112">
                  <c:v>0.963888889</c:v>
                </c:pt>
                <c:pt idx="113">
                  <c:v>0.969444444</c:v>
                </c:pt>
                <c:pt idx="114">
                  <c:v>0.975</c:v>
                </c:pt>
                <c:pt idx="115">
                  <c:v>0.980555556</c:v>
                </c:pt>
                <c:pt idx="116">
                  <c:v>0.986111111</c:v>
                </c:pt>
                <c:pt idx="117">
                  <c:v>0.991666667</c:v>
                </c:pt>
                <c:pt idx="118">
                  <c:v>0.997222222</c:v>
                </c:pt>
                <c:pt idx="119">
                  <c:v>1.002777778</c:v>
                </c:pt>
                <c:pt idx="120">
                  <c:v>1.008333333</c:v>
                </c:pt>
                <c:pt idx="121">
                  <c:v>1.013888889</c:v>
                </c:pt>
                <c:pt idx="122">
                  <c:v>1.019444444</c:v>
                </c:pt>
                <c:pt idx="123">
                  <c:v>1.025</c:v>
                </c:pt>
                <c:pt idx="124">
                  <c:v>1.030555556</c:v>
                </c:pt>
                <c:pt idx="125">
                  <c:v>1.036111111</c:v>
                </c:pt>
                <c:pt idx="126">
                  <c:v>1.041666667</c:v>
                </c:pt>
                <c:pt idx="127">
                  <c:v>1.047222222</c:v>
                </c:pt>
                <c:pt idx="128">
                  <c:v>1.052777778</c:v>
                </c:pt>
                <c:pt idx="129">
                  <c:v>1.058333333</c:v>
                </c:pt>
                <c:pt idx="130">
                  <c:v>1.063888889</c:v>
                </c:pt>
                <c:pt idx="131">
                  <c:v>1.069444444</c:v>
                </c:pt>
                <c:pt idx="132">
                  <c:v>1.075</c:v>
                </c:pt>
                <c:pt idx="133">
                  <c:v>1.080555556</c:v>
                </c:pt>
                <c:pt idx="134">
                  <c:v>1.086111111</c:v>
                </c:pt>
                <c:pt idx="135">
                  <c:v>1.091666667</c:v>
                </c:pt>
                <c:pt idx="136">
                  <c:v>1.097222222</c:v>
                </c:pt>
                <c:pt idx="137">
                  <c:v>1.102777778</c:v>
                </c:pt>
                <c:pt idx="138">
                  <c:v>1.108333333</c:v>
                </c:pt>
                <c:pt idx="139">
                  <c:v>1.113888889</c:v>
                </c:pt>
                <c:pt idx="140">
                  <c:v>1.119444444</c:v>
                </c:pt>
                <c:pt idx="141">
                  <c:v>1.125</c:v>
                </c:pt>
                <c:pt idx="142">
                  <c:v>1.130555556</c:v>
                </c:pt>
                <c:pt idx="143">
                  <c:v>1.136111111</c:v>
                </c:pt>
                <c:pt idx="144">
                  <c:v>1.141666667</c:v>
                </c:pt>
                <c:pt idx="145">
                  <c:v>1.147222222</c:v>
                </c:pt>
                <c:pt idx="146">
                  <c:v>1.152777778</c:v>
                </c:pt>
                <c:pt idx="147">
                  <c:v>1.158333333</c:v>
                </c:pt>
                <c:pt idx="148">
                  <c:v>1.163888889</c:v>
                </c:pt>
                <c:pt idx="149">
                  <c:v>1.169444444</c:v>
                </c:pt>
                <c:pt idx="150">
                  <c:v>1.175</c:v>
                </c:pt>
                <c:pt idx="151">
                  <c:v>1.180555556</c:v>
                </c:pt>
                <c:pt idx="152">
                  <c:v>1.186111111</c:v>
                </c:pt>
                <c:pt idx="153">
                  <c:v>1.191666667</c:v>
                </c:pt>
                <c:pt idx="154">
                  <c:v>1.197222222</c:v>
                </c:pt>
                <c:pt idx="155">
                  <c:v>1.202777778</c:v>
                </c:pt>
                <c:pt idx="156">
                  <c:v>1.208333333</c:v>
                </c:pt>
                <c:pt idx="157">
                  <c:v>1.213888889</c:v>
                </c:pt>
                <c:pt idx="158">
                  <c:v>1.219444444</c:v>
                </c:pt>
                <c:pt idx="159">
                  <c:v>1.225</c:v>
                </c:pt>
                <c:pt idx="160">
                  <c:v>1.230555556</c:v>
                </c:pt>
                <c:pt idx="161">
                  <c:v>1.236111111</c:v>
                </c:pt>
                <c:pt idx="162">
                  <c:v>1.241666667</c:v>
                </c:pt>
                <c:pt idx="163">
                  <c:v>1.247222222</c:v>
                </c:pt>
                <c:pt idx="164">
                  <c:v>1.252777778</c:v>
                </c:pt>
                <c:pt idx="165">
                  <c:v>1.258333333</c:v>
                </c:pt>
                <c:pt idx="166">
                  <c:v>1.263888889</c:v>
                </c:pt>
                <c:pt idx="167">
                  <c:v>1.269444444</c:v>
                </c:pt>
                <c:pt idx="168">
                  <c:v>1.275</c:v>
                </c:pt>
                <c:pt idx="169">
                  <c:v>1.280555556</c:v>
                </c:pt>
                <c:pt idx="170">
                  <c:v>1.286111111</c:v>
                </c:pt>
                <c:pt idx="171">
                  <c:v>1.291666667</c:v>
                </c:pt>
                <c:pt idx="172">
                  <c:v>1.297222222</c:v>
                </c:pt>
                <c:pt idx="173">
                  <c:v>1.302777778</c:v>
                </c:pt>
                <c:pt idx="174">
                  <c:v>1.308333333</c:v>
                </c:pt>
                <c:pt idx="175">
                  <c:v>1.313888889</c:v>
                </c:pt>
                <c:pt idx="176">
                  <c:v>1.319444444</c:v>
                </c:pt>
                <c:pt idx="177">
                  <c:v>1.325</c:v>
                </c:pt>
                <c:pt idx="178">
                  <c:v>1.330555556</c:v>
                </c:pt>
                <c:pt idx="179">
                  <c:v>1.336111111</c:v>
                </c:pt>
                <c:pt idx="180">
                  <c:v>1.341666667</c:v>
                </c:pt>
                <c:pt idx="181">
                  <c:v>1.347222222</c:v>
                </c:pt>
                <c:pt idx="182">
                  <c:v>1.352777778</c:v>
                </c:pt>
                <c:pt idx="183">
                  <c:v>1.358333333</c:v>
                </c:pt>
                <c:pt idx="184">
                  <c:v>1.363888889</c:v>
                </c:pt>
                <c:pt idx="185">
                  <c:v>1.369444444</c:v>
                </c:pt>
                <c:pt idx="186">
                  <c:v>1.375</c:v>
                </c:pt>
              </c:strCache>
            </c:strRef>
          </c:cat>
          <c:val>
            <c:numRef>
              <c:f>[1]Feuil1!$C$2:$C$187</c:f>
              <c:numCache>
                <c:formatCode>General</c:formatCode>
                <c:ptCount val="186"/>
                <c:pt idx="0">
                  <c:v>36.51</c:v>
                </c:pt>
                <c:pt idx="1">
                  <c:v>36.511209999999998</c:v>
                </c:pt>
                <c:pt idx="2">
                  <c:v>36.521186999999998</c:v>
                </c:pt>
                <c:pt idx="3">
                  <c:v>36.5342232</c:v>
                </c:pt>
                <c:pt idx="4">
                  <c:v>36.538870000000003</c:v>
                </c:pt>
                <c:pt idx="5">
                  <c:v>36.553339999999999</c:v>
                </c:pt>
                <c:pt idx="6">
                  <c:v>36.612209999999997</c:v>
                </c:pt>
                <c:pt idx="7">
                  <c:v>36.722320000000003</c:v>
                </c:pt>
                <c:pt idx="8">
                  <c:v>36.694299999999998</c:v>
                </c:pt>
                <c:pt idx="9">
                  <c:v>36.79645</c:v>
                </c:pt>
                <c:pt idx="10">
                  <c:v>36.911999999999999</c:v>
                </c:pt>
                <c:pt idx="11">
                  <c:v>36.932445000000001</c:v>
                </c:pt>
                <c:pt idx="12">
                  <c:v>36.875999999999998</c:v>
                </c:pt>
                <c:pt idx="13">
                  <c:v>36.89</c:v>
                </c:pt>
                <c:pt idx="14">
                  <c:v>36.899700000000003</c:v>
                </c:pt>
                <c:pt idx="15">
                  <c:v>37.000121100000001</c:v>
                </c:pt>
                <c:pt idx="16">
                  <c:v>37.063333333333333</c:v>
                </c:pt>
                <c:pt idx="17">
                  <c:v>36.936666666666675</c:v>
                </c:pt>
                <c:pt idx="18">
                  <c:v>36.928879999999999</c:v>
                </c:pt>
                <c:pt idx="19">
                  <c:v>36.909999999999997</c:v>
                </c:pt>
                <c:pt idx="20">
                  <c:v>36.900010000000002</c:v>
                </c:pt>
                <c:pt idx="21">
                  <c:v>36.89667</c:v>
                </c:pt>
                <c:pt idx="22">
                  <c:v>36.893329999999999</c:v>
                </c:pt>
                <c:pt idx="23">
                  <c:v>36.832777777777778</c:v>
                </c:pt>
                <c:pt idx="24">
                  <c:v>36.84148148148148</c:v>
                </c:pt>
                <c:pt idx="25">
                  <c:v>36.802777777777997</c:v>
                </c:pt>
                <c:pt idx="26">
                  <c:v>36.925925925926002</c:v>
                </c:pt>
                <c:pt idx="27">
                  <c:v>37.004907407407408</c:v>
                </c:pt>
                <c:pt idx="28">
                  <c:v>36.952388888888891</c:v>
                </c:pt>
                <c:pt idx="29">
                  <c:v>36.899870370370401</c:v>
                </c:pt>
                <c:pt idx="30">
                  <c:v>36.935351851851856</c:v>
                </c:pt>
                <c:pt idx="31">
                  <c:v>36.940148148148097</c:v>
                </c:pt>
                <c:pt idx="32">
                  <c:v>36.93266666666667</c:v>
                </c:pt>
                <c:pt idx="33">
                  <c:v>36.925185185185192</c:v>
                </c:pt>
                <c:pt idx="34">
                  <c:v>36.96685185185185</c:v>
                </c:pt>
                <c:pt idx="35">
                  <c:v>37.044444444444501</c:v>
                </c:pt>
                <c:pt idx="36">
                  <c:v>37.048518518518527</c:v>
                </c:pt>
                <c:pt idx="37">
                  <c:v>37.052592592592596</c:v>
                </c:pt>
                <c:pt idx="38">
                  <c:v>37.062962962962963</c:v>
                </c:pt>
                <c:pt idx="39">
                  <c:v>37.084444444444443</c:v>
                </c:pt>
                <c:pt idx="40">
                  <c:v>37.122851851851856</c:v>
                </c:pt>
                <c:pt idx="41">
                  <c:v>37.161259259259303</c:v>
                </c:pt>
                <c:pt idx="42">
                  <c:v>37.213777777777779</c:v>
                </c:pt>
                <c:pt idx="43">
                  <c:v>37.324666666666666</c:v>
                </c:pt>
                <c:pt idx="44">
                  <c:v>37.471333333333334</c:v>
                </c:pt>
                <c:pt idx="45">
                  <c:v>37.559777777777782</c:v>
                </c:pt>
                <c:pt idx="46">
                  <c:v>37.648222222222202</c:v>
                </c:pt>
                <c:pt idx="47">
                  <c:v>37.572000000000003</c:v>
                </c:pt>
                <c:pt idx="48">
                  <c:v>37.519777777777776</c:v>
                </c:pt>
                <c:pt idx="49">
                  <c:v>37.521296296296299</c:v>
                </c:pt>
                <c:pt idx="50">
                  <c:v>37.596481481481476</c:v>
                </c:pt>
                <c:pt idx="51">
                  <c:v>37.671666666666702</c:v>
                </c:pt>
                <c:pt idx="52">
                  <c:v>37.721481481481483</c:v>
                </c:pt>
                <c:pt idx="53">
                  <c:v>37.810370370370364</c:v>
                </c:pt>
                <c:pt idx="54">
                  <c:v>37.828518518518521</c:v>
                </c:pt>
                <c:pt idx="55">
                  <c:v>37.765074074074079</c:v>
                </c:pt>
                <c:pt idx="56">
                  <c:v>37.701629629629601</c:v>
                </c:pt>
                <c:pt idx="57">
                  <c:v>37.700740740740748</c:v>
                </c:pt>
                <c:pt idx="58">
                  <c:v>37.572407407407404</c:v>
                </c:pt>
                <c:pt idx="59">
                  <c:v>37.468888888888884</c:v>
                </c:pt>
                <c:pt idx="60">
                  <c:v>37.3653703703704</c:v>
                </c:pt>
                <c:pt idx="61">
                  <c:v>37.426111111111112</c:v>
                </c:pt>
                <c:pt idx="62">
                  <c:v>37.405555555555544</c:v>
                </c:pt>
                <c:pt idx="63">
                  <c:v>37.373148148148147</c:v>
                </c:pt>
                <c:pt idx="64">
                  <c:v>37.373888888888899</c:v>
                </c:pt>
                <c:pt idx="65">
                  <c:v>37.481111111111112</c:v>
                </c:pt>
                <c:pt idx="66">
                  <c:v>37.588333333333303</c:v>
                </c:pt>
                <c:pt idx="67">
                  <c:v>37.592037037037045</c:v>
                </c:pt>
                <c:pt idx="68">
                  <c:v>37.626666666666665</c:v>
                </c:pt>
                <c:pt idx="69">
                  <c:v>37.620555555555562</c:v>
                </c:pt>
                <c:pt idx="70">
                  <c:v>37.614444444444501</c:v>
                </c:pt>
                <c:pt idx="71">
                  <c:v>37.654259259259263</c:v>
                </c:pt>
                <c:pt idx="72">
                  <c:v>37.65537037037037</c:v>
                </c:pt>
                <c:pt idx="73">
                  <c:v>37.601851851851862</c:v>
                </c:pt>
                <c:pt idx="74">
                  <c:v>37.513703703703705</c:v>
                </c:pt>
                <c:pt idx="75">
                  <c:v>37.425555555555498</c:v>
                </c:pt>
                <c:pt idx="76">
                  <c:v>37.487037037037034</c:v>
                </c:pt>
                <c:pt idx="77">
                  <c:v>37.539259259259303</c:v>
                </c:pt>
                <c:pt idx="78">
                  <c:v>37.468703703703703</c:v>
                </c:pt>
                <c:pt idx="79">
                  <c:v>37.398148148148145</c:v>
                </c:pt>
                <c:pt idx="80">
                  <c:v>37.388851851851854</c:v>
                </c:pt>
                <c:pt idx="81">
                  <c:v>37.379555555555598</c:v>
                </c:pt>
                <c:pt idx="82">
                  <c:v>37.411999999999992</c:v>
                </c:pt>
                <c:pt idx="83">
                  <c:v>37.454888888888895</c:v>
                </c:pt>
                <c:pt idx="84">
                  <c:v>37.506</c:v>
                </c:pt>
                <c:pt idx="85">
                  <c:v>37.539000000000001</c:v>
                </c:pt>
                <c:pt idx="86">
                  <c:v>37.572000000000003</c:v>
                </c:pt>
                <c:pt idx="87">
                  <c:v>37.528722222222221</c:v>
                </c:pt>
                <c:pt idx="88">
                  <c:v>37.449111111111108</c:v>
                </c:pt>
                <c:pt idx="89">
                  <c:v>37.402444444444448</c:v>
                </c:pt>
                <c:pt idx="90">
                  <c:v>37.361555555555555</c:v>
                </c:pt>
                <c:pt idx="91">
                  <c:v>37.309777777777782</c:v>
                </c:pt>
                <c:pt idx="92">
                  <c:v>37.258000000000003</c:v>
                </c:pt>
                <c:pt idx="93">
                  <c:v>37.2073888888889</c:v>
                </c:pt>
                <c:pt idx="94">
                  <c:v>37.110111111111109</c:v>
                </c:pt>
                <c:pt idx="95">
                  <c:v>37.181111111111107</c:v>
                </c:pt>
                <c:pt idx="96">
                  <c:v>37.246444444444442</c:v>
                </c:pt>
                <c:pt idx="97">
                  <c:v>37.311777777777799</c:v>
                </c:pt>
                <c:pt idx="98">
                  <c:v>37.293611111111119</c:v>
                </c:pt>
                <c:pt idx="99">
                  <c:v>37.28462962962962</c:v>
                </c:pt>
                <c:pt idx="100">
                  <c:v>37.314629629629636</c:v>
                </c:pt>
                <c:pt idx="101">
                  <c:v>37.304444444444442</c:v>
                </c:pt>
                <c:pt idx="102">
                  <c:v>37.294259259259199</c:v>
                </c:pt>
                <c:pt idx="103">
                  <c:v>37.237222222222229</c:v>
                </c:pt>
                <c:pt idx="104">
                  <c:v>37.247777777777777</c:v>
                </c:pt>
                <c:pt idx="105">
                  <c:v>37.221111111111114</c:v>
                </c:pt>
                <c:pt idx="106">
                  <c:v>37.188888888888897</c:v>
                </c:pt>
                <c:pt idx="107">
                  <c:v>37.156666666666702</c:v>
                </c:pt>
                <c:pt idx="108">
                  <c:v>37.144444444444439</c:v>
                </c:pt>
                <c:pt idx="109">
                  <c:v>37.130000000000003</c:v>
                </c:pt>
                <c:pt idx="110">
                  <c:v>37.033333333333331</c:v>
                </c:pt>
                <c:pt idx="111">
                  <c:v>36.892222222222216</c:v>
                </c:pt>
                <c:pt idx="112">
                  <c:v>36.751111111111101</c:v>
                </c:pt>
                <c:pt idx="113">
                  <c:v>36.797777777777782</c:v>
                </c:pt>
                <c:pt idx="114">
                  <c:v>36.777944444444444</c:v>
                </c:pt>
                <c:pt idx="115">
                  <c:v>36.731666666666655</c:v>
                </c:pt>
                <c:pt idx="116">
                  <c:v>36.693833333333338</c:v>
                </c:pt>
                <c:pt idx="117">
                  <c:v>36.655999999999999</c:v>
                </c:pt>
                <c:pt idx="118">
                  <c:v>36.652777777777779</c:v>
                </c:pt>
                <c:pt idx="119">
                  <c:v>36.70103703703704</c:v>
                </c:pt>
                <c:pt idx="120">
                  <c:v>36.669814814814814</c:v>
                </c:pt>
                <c:pt idx="121">
                  <c:v>36.638592592592602</c:v>
                </c:pt>
                <c:pt idx="122">
                  <c:v>36.607370370370397</c:v>
                </c:pt>
                <c:pt idx="123">
                  <c:v>36.544111111111107</c:v>
                </c:pt>
                <c:pt idx="124">
                  <c:v>36.490333333333332</c:v>
                </c:pt>
                <c:pt idx="125">
                  <c:v>36.512277777777769</c:v>
                </c:pt>
                <c:pt idx="126">
                  <c:v>36.502592592592592</c:v>
                </c:pt>
                <c:pt idx="127">
                  <c:v>36.492907407407401</c:v>
                </c:pt>
                <c:pt idx="128">
                  <c:v>36.474259259259256</c:v>
                </c:pt>
                <c:pt idx="129">
                  <c:v>36.488444444444447</c:v>
                </c:pt>
                <c:pt idx="130">
                  <c:v>36.447648148148147</c:v>
                </c:pt>
                <c:pt idx="131">
                  <c:v>36.534351851851845</c:v>
                </c:pt>
                <c:pt idx="132">
                  <c:v>36.447574074074097</c:v>
                </c:pt>
                <c:pt idx="133">
                  <c:v>36.452037037037037</c:v>
                </c:pt>
                <c:pt idx="134">
                  <c:v>36.456499999999998</c:v>
                </c:pt>
                <c:pt idx="135">
                  <c:v>36.460277777777776</c:v>
                </c:pt>
                <c:pt idx="136">
                  <c:v>36.451296296296292</c:v>
                </c:pt>
                <c:pt idx="137">
                  <c:v>36.4423148148148</c:v>
                </c:pt>
                <c:pt idx="138">
                  <c:v>36.465814814814813</c:v>
                </c:pt>
                <c:pt idx="139">
                  <c:v>36.499499999999991</c:v>
                </c:pt>
                <c:pt idx="140">
                  <c:v>36.513814814814815</c:v>
                </c:pt>
                <c:pt idx="141">
                  <c:v>36.527481481481487</c:v>
                </c:pt>
                <c:pt idx="142">
                  <c:v>36.541148148148203</c:v>
                </c:pt>
                <c:pt idx="143">
                  <c:v>36.576666666666668</c:v>
                </c:pt>
                <c:pt idx="144">
                  <c:v>36.608333333333334</c:v>
                </c:pt>
                <c:pt idx="145">
                  <c:v>36.588240740740744</c:v>
                </c:pt>
                <c:pt idx="146">
                  <c:v>36.569185185185184</c:v>
                </c:pt>
                <c:pt idx="147">
                  <c:v>36.550129629629602</c:v>
                </c:pt>
                <c:pt idx="148">
                  <c:v>36.549740740740745</c:v>
                </c:pt>
                <c:pt idx="149">
                  <c:v>36.540481481481478</c:v>
                </c:pt>
                <c:pt idx="150">
                  <c:v>36.554166666666667</c:v>
                </c:pt>
                <c:pt idx="151">
                  <c:v>36.555</c:v>
                </c:pt>
                <c:pt idx="152">
                  <c:v>36.555833333333297</c:v>
                </c:pt>
                <c:pt idx="153">
                  <c:v>36.56894444444444</c:v>
                </c:pt>
                <c:pt idx="154">
                  <c:v>36.539722222222231</c:v>
                </c:pt>
                <c:pt idx="155">
                  <c:v>36.530555555555551</c:v>
                </c:pt>
                <c:pt idx="156">
                  <c:v>36.546277777777782</c:v>
                </c:pt>
                <c:pt idx="157">
                  <c:v>36.561999999999998</c:v>
                </c:pt>
                <c:pt idx="158">
                  <c:v>36.612777777777779</c:v>
                </c:pt>
                <c:pt idx="159">
                  <c:v>36.612185185185183</c:v>
                </c:pt>
                <c:pt idx="160">
                  <c:v>36.687222222222218</c:v>
                </c:pt>
                <c:pt idx="161">
                  <c:v>36.699611111111103</c:v>
                </c:pt>
                <c:pt idx="162">
                  <c:v>36.712000000000003</c:v>
                </c:pt>
                <c:pt idx="163">
                  <c:v>36.737740740740747</c:v>
                </c:pt>
                <c:pt idx="164">
                  <c:v>36.722833333333334</c:v>
                </c:pt>
                <c:pt idx="165">
                  <c:v>36.745444444444445</c:v>
                </c:pt>
                <c:pt idx="166">
                  <c:v>36.614999999999995</c:v>
                </c:pt>
                <c:pt idx="167">
                  <c:v>36.484555555555502</c:v>
                </c:pt>
                <c:pt idx="168">
                  <c:v>36.653148148148148</c:v>
                </c:pt>
                <c:pt idx="169">
                  <c:v>36.678333333333335</c:v>
                </c:pt>
                <c:pt idx="170">
                  <c:v>36.712407407407412</c:v>
                </c:pt>
                <c:pt idx="171">
                  <c:v>36.773611111111109</c:v>
                </c:pt>
                <c:pt idx="172">
                  <c:v>36.743360000000003</c:v>
                </c:pt>
                <c:pt idx="173">
                  <c:v>36.693333333333335</c:v>
                </c:pt>
                <c:pt idx="174">
                  <c:v>36.815740740740729</c:v>
                </c:pt>
                <c:pt idx="175">
                  <c:v>36.790370370370368</c:v>
                </c:pt>
                <c:pt idx="176">
                  <c:v>36.845740740740744</c:v>
                </c:pt>
                <c:pt idx="177">
                  <c:v>36.901111111111099</c:v>
                </c:pt>
                <c:pt idx="178">
                  <c:v>36.8787037037037</c:v>
                </c:pt>
                <c:pt idx="179">
                  <c:v>36.958611111111118</c:v>
                </c:pt>
                <c:pt idx="180">
                  <c:v>37.050740740740743</c:v>
                </c:pt>
                <c:pt idx="181">
                  <c:v>37.142870370370403</c:v>
                </c:pt>
                <c:pt idx="182">
                  <c:v>37.017777777777773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1-473C-AC07-EFA7D2B5F84C}"/>
            </c:ext>
          </c:extLst>
        </c:ser>
        <c:ser>
          <c:idx val="2"/>
          <c:order val="2"/>
          <c:tx>
            <c:strRef>
              <c:f>[1]Feuil1!$D$1</c:f>
              <c:strCache>
                <c:ptCount val="1"/>
                <c:pt idx="0">
                  <c:v>Mean Tcore Experimental 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[1]Feuil1!$A:$A</c:f>
              <c:strCache>
                <c:ptCount val="1048576"/>
                <c:pt idx="0">
                  <c:v>Time</c:v>
                </c:pt>
                <c:pt idx="1">
                  <c:v>0.358333333</c:v>
                </c:pt>
                <c:pt idx="2">
                  <c:v>0.363888889</c:v>
                </c:pt>
                <c:pt idx="3">
                  <c:v>0.369444444</c:v>
                </c:pt>
                <c:pt idx="4">
                  <c:v>0.375</c:v>
                </c:pt>
                <c:pt idx="5">
                  <c:v>0.380555556</c:v>
                </c:pt>
                <c:pt idx="6">
                  <c:v>0.386111111</c:v>
                </c:pt>
                <c:pt idx="7">
                  <c:v>0.391666667</c:v>
                </c:pt>
                <c:pt idx="8">
                  <c:v>0.397222222</c:v>
                </c:pt>
                <c:pt idx="9">
                  <c:v>0.402777778</c:v>
                </c:pt>
                <c:pt idx="10">
                  <c:v>0.408333333</c:v>
                </c:pt>
                <c:pt idx="11">
                  <c:v>0.413888889</c:v>
                </c:pt>
                <c:pt idx="12">
                  <c:v>0.419444444</c:v>
                </c:pt>
                <c:pt idx="13">
                  <c:v>0.425</c:v>
                </c:pt>
                <c:pt idx="14">
                  <c:v>0.430555556</c:v>
                </c:pt>
                <c:pt idx="15">
                  <c:v>0.436111111</c:v>
                </c:pt>
                <c:pt idx="16">
                  <c:v>0.441666667</c:v>
                </c:pt>
                <c:pt idx="17">
                  <c:v>0.447222222</c:v>
                </c:pt>
                <c:pt idx="18">
                  <c:v>0.452777778</c:v>
                </c:pt>
                <c:pt idx="19">
                  <c:v>0.458333333</c:v>
                </c:pt>
                <c:pt idx="20">
                  <c:v>0.463888889</c:v>
                </c:pt>
                <c:pt idx="21">
                  <c:v>0.469444444</c:v>
                </c:pt>
                <c:pt idx="22">
                  <c:v>0.475</c:v>
                </c:pt>
                <c:pt idx="23">
                  <c:v>0.480555556</c:v>
                </c:pt>
                <c:pt idx="24">
                  <c:v>0.486111111</c:v>
                </c:pt>
                <c:pt idx="25">
                  <c:v>0.491666667</c:v>
                </c:pt>
                <c:pt idx="26">
                  <c:v>0.497222222</c:v>
                </c:pt>
                <c:pt idx="27">
                  <c:v>0.502777778</c:v>
                </c:pt>
                <c:pt idx="28">
                  <c:v>0.508333333</c:v>
                </c:pt>
                <c:pt idx="29">
                  <c:v>0.513888889</c:v>
                </c:pt>
                <c:pt idx="30">
                  <c:v>0.519444444</c:v>
                </c:pt>
                <c:pt idx="31">
                  <c:v>0.525</c:v>
                </c:pt>
                <c:pt idx="32">
                  <c:v>0.530555556</c:v>
                </c:pt>
                <c:pt idx="33">
                  <c:v>0.536111111</c:v>
                </c:pt>
                <c:pt idx="34">
                  <c:v>0.538888889</c:v>
                </c:pt>
                <c:pt idx="35">
                  <c:v>0.541666667</c:v>
                </c:pt>
                <c:pt idx="36">
                  <c:v>0.547222222</c:v>
                </c:pt>
                <c:pt idx="37">
                  <c:v>0.552777778</c:v>
                </c:pt>
                <c:pt idx="38">
                  <c:v>0.558333333</c:v>
                </c:pt>
                <c:pt idx="39">
                  <c:v>0.563888889</c:v>
                </c:pt>
                <c:pt idx="40">
                  <c:v>0.569444444</c:v>
                </c:pt>
                <c:pt idx="41">
                  <c:v>0.575</c:v>
                </c:pt>
                <c:pt idx="42">
                  <c:v>0.580555556</c:v>
                </c:pt>
                <c:pt idx="43">
                  <c:v>0.586111111</c:v>
                </c:pt>
                <c:pt idx="44">
                  <c:v>0.591666667</c:v>
                </c:pt>
                <c:pt idx="45">
                  <c:v>0.597222222</c:v>
                </c:pt>
                <c:pt idx="46">
                  <c:v>0.602777778</c:v>
                </c:pt>
                <c:pt idx="47">
                  <c:v>0.608333333</c:v>
                </c:pt>
                <c:pt idx="48">
                  <c:v>0.613888889</c:v>
                </c:pt>
                <c:pt idx="49">
                  <c:v>0.619444444</c:v>
                </c:pt>
                <c:pt idx="50">
                  <c:v>0.625</c:v>
                </c:pt>
                <c:pt idx="51">
                  <c:v>0.630555556</c:v>
                </c:pt>
                <c:pt idx="52">
                  <c:v>0.636111111</c:v>
                </c:pt>
                <c:pt idx="53">
                  <c:v>0.641666667</c:v>
                </c:pt>
                <c:pt idx="54">
                  <c:v>0.647222222</c:v>
                </c:pt>
                <c:pt idx="55">
                  <c:v>0.652777778</c:v>
                </c:pt>
                <c:pt idx="56">
                  <c:v>0.658333333</c:v>
                </c:pt>
                <c:pt idx="57">
                  <c:v>0.663888889</c:v>
                </c:pt>
                <c:pt idx="58">
                  <c:v>0.669444444</c:v>
                </c:pt>
                <c:pt idx="59">
                  <c:v>0.675</c:v>
                </c:pt>
                <c:pt idx="60">
                  <c:v>0.680555556</c:v>
                </c:pt>
                <c:pt idx="61">
                  <c:v>0.686111111</c:v>
                </c:pt>
                <c:pt idx="62">
                  <c:v>0.691666667</c:v>
                </c:pt>
                <c:pt idx="63">
                  <c:v>0.697222222</c:v>
                </c:pt>
                <c:pt idx="64">
                  <c:v>0.702777778</c:v>
                </c:pt>
                <c:pt idx="65">
                  <c:v>0.708333333</c:v>
                </c:pt>
                <c:pt idx="66">
                  <c:v>0.713888889</c:v>
                </c:pt>
                <c:pt idx="67">
                  <c:v>0.719444444</c:v>
                </c:pt>
                <c:pt idx="68">
                  <c:v>0.725</c:v>
                </c:pt>
                <c:pt idx="69">
                  <c:v>0.730555556</c:v>
                </c:pt>
                <c:pt idx="70">
                  <c:v>0.736111111</c:v>
                </c:pt>
                <c:pt idx="71">
                  <c:v>0.741666667</c:v>
                </c:pt>
                <c:pt idx="72">
                  <c:v>0.747222222</c:v>
                </c:pt>
                <c:pt idx="73">
                  <c:v>0.752777778</c:v>
                </c:pt>
                <c:pt idx="74">
                  <c:v>0.758333333</c:v>
                </c:pt>
                <c:pt idx="75">
                  <c:v>0.763888889</c:v>
                </c:pt>
                <c:pt idx="76">
                  <c:v>0.769444444</c:v>
                </c:pt>
                <c:pt idx="77">
                  <c:v>0.775</c:v>
                </c:pt>
                <c:pt idx="78">
                  <c:v>0.780555556</c:v>
                </c:pt>
                <c:pt idx="79">
                  <c:v>0.786111111</c:v>
                </c:pt>
                <c:pt idx="80">
                  <c:v>0.788888889</c:v>
                </c:pt>
                <c:pt idx="81">
                  <c:v>0.791666667</c:v>
                </c:pt>
                <c:pt idx="82">
                  <c:v>0.797222222</c:v>
                </c:pt>
                <c:pt idx="83">
                  <c:v>0.802777778</c:v>
                </c:pt>
                <c:pt idx="84">
                  <c:v>0.808333333</c:v>
                </c:pt>
                <c:pt idx="85">
                  <c:v>0.813888889</c:v>
                </c:pt>
                <c:pt idx="86">
                  <c:v>0.819444444</c:v>
                </c:pt>
                <c:pt idx="87">
                  <c:v>0.825</c:v>
                </c:pt>
                <c:pt idx="88">
                  <c:v>0.830555556</c:v>
                </c:pt>
                <c:pt idx="89">
                  <c:v>0.836111111</c:v>
                </c:pt>
                <c:pt idx="90">
                  <c:v>0.841666667</c:v>
                </c:pt>
                <c:pt idx="91">
                  <c:v>0.847222222</c:v>
                </c:pt>
                <c:pt idx="92">
                  <c:v>0.852777778</c:v>
                </c:pt>
                <c:pt idx="93">
                  <c:v>0.858333333</c:v>
                </c:pt>
                <c:pt idx="94">
                  <c:v>0.863888889</c:v>
                </c:pt>
                <c:pt idx="95">
                  <c:v>0.869444444</c:v>
                </c:pt>
                <c:pt idx="96">
                  <c:v>0.875</c:v>
                </c:pt>
                <c:pt idx="97">
                  <c:v>0.880555556</c:v>
                </c:pt>
                <c:pt idx="98">
                  <c:v>0.886111111</c:v>
                </c:pt>
                <c:pt idx="99">
                  <c:v>0.891666667</c:v>
                </c:pt>
                <c:pt idx="100">
                  <c:v>0.897222222</c:v>
                </c:pt>
                <c:pt idx="101">
                  <c:v>0.902777778</c:v>
                </c:pt>
                <c:pt idx="102">
                  <c:v>0.908333333</c:v>
                </c:pt>
                <c:pt idx="103">
                  <c:v>0.913888889</c:v>
                </c:pt>
                <c:pt idx="104">
                  <c:v>0.919444444</c:v>
                </c:pt>
                <c:pt idx="105">
                  <c:v>0.925</c:v>
                </c:pt>
                <c:pt idx="106">
                  <c:v>0.930555556</c:v>
                </c:pt>
                <c:pt idx="107">
                  <c:v>0.936111111</c:v>
                </c:pt>
                <c:pt idx="108">
                  <c:v>0.941666667</c:v>
                </c:pt>
                <c:pt idx="109">
                  <c:v>0.947222222</c:v>
                </c:pt>
                <c:pt idx="110">
                  <c:v>0.952777778</c:v>
                </c:pt>
                <c:pt idx="111">
                  <c:v>0.958333333</c:v>
                </c:pt>
                <c:pt idx="112">
                  <c:v>0.963888889</c:v>
                </c:pt>
                <c:pt idx="113">
                  <c:v>0.969444444</c:v>
                </c:pt>
                <c:pt idx="114">
                  <c:v>0.975</c:v>
                </c:pt>
                <c:pt idx="115">
                  <c:v>0.980555556</c:v>
                </c:pt>
                <c:pt idx="116">
                  <c:v>0.986111111</c:v>
                </c:pt>
                <c:pt idx="117">
                  <c:v>0.991666667</c:v>
                </c:pt>
                <c:pt idx="118">
                  <c:v>0.997222222</c:v>
                </c:pt>
                <c:pt idx="119">
                  <c:v>1.002777778</c:v>
                </c:pt>
                <c:pt idx="120">
                  <c:v>1.008333333</c:v>
                </c:pt>
                <c:pt idx="121">
                  <c:v>1.013888889</c:v>
                </c:pt>
                <c:pt idx="122">
                  <c:v>1.019444444</c:v>
                </c:pt>
                <c:pt idx="123">
                  <c:v>1.025</c:v>
                </c:pt>
                <c:pt idx="124">
                  <c:v>1.030555556</c:v>
                </c:pt>
                <c:pt idx="125">
                  <c:v>1.036111111</c:v>
                </c:pt>
                <c:pt idx="126">
                  <c:v>1.041666667</c:v>
                </c:pt>
                <c:pt idx="127">
                  <c:v>1.047222222</c:v>
                </c:pt>
                <c:pt idx="128">
                  <c:v>1.052777778</c:v>
                </c:pt>
                <c:pt idx="129">
                  <c:v>1.058333333</c:v>
                </c:pt>
                <c:pt idx="130">
                  <c:v>1.063888889</c:v>
                </c:pt>
                <c:pt idx="131">
                  <c:v>1.069444444</c:v>
                </c:pt>
                <c:pt idx="132">
                  <c:v>1.075</c:v>
                </c:pt>
                <c:pt idx="133">
                  <c:v>1.080555556</c:v>
                </c:pt>
                <c:pt idx="134">
                  <c:v>1.086111111</c:v>
                </c:pt>
                <c:pt idx="135">
                  <c:v>1.091666667</c:v>
                </c:pt>
                <c:pt idx="136">
                  <c:v>1.097222222</c:v>
                </c:pt>
                <c:pt idx="137">
                  <c:v>1.102777778</c:v>
                </c:pt>
                <c:pt idx="138">
                  <c:v>1.108333333</c:v>
                </c:pt>
                <c:pt idx="139">
                  <c:v>1.113888889</c:v>
                </c:pt>
                <c:pt idx="140">
                  <c:v>1.119444444</c:v>
                </c:pt>
                <c:pt idx="141">
                  <c:v>1.125</c:v>
                </c:pt>
                <c:pt idx="142">
                  <c:v>1.130555556</c:v>
                </c:pt>
                <c:pt idx="143">
                  <c:v>1.136111111</c:v>
                </c:pt>
                <c:pt idx="144">
                  <c:v>1.141666667</c:v>
                </c:pt>
                <c:pt idx="145">
                  <c:v>1.147222222</c:v>
                </c:pt>
                <c:pt idx="146">
                  <c:v>1.152777778</c:v>
                </c:pt>
                <c:pt idx="147">
                  <c:v>1.158333333</c:v>
                </c:pt>
                <c:pt idx="148">
                  <c:v>1.163888889</c:v>
                </c:pt>
                <c:pt idx="149">
                  <c:v>1.169444444</c:v>
                </c:pt>
                <c:pt idx="150">
                  <c:v>1.175</c:v>
                </c:pt>
                <c:pt idx="151">
                  <c:v>1.180555556</c:v>
                </c:pt>
                <c:pt idx="152">
                  <c:v>1.186111111</c:v>
                </c:pt>
                <c:pt idx="153">
                  <c:v>1.191666667</c:v>
                </c:pt>
                <c:pt idx="154">
                  <c:v>1.197222222</c:v>
                </c:pt>
                <c:pt idx="155">
                  <c:v>1.202777778</c:v>
                </c:pt>
                <c:pt idx="156">
                  <c:v>1.208333333</c:v>
                </c:pt>
                <c:pt idx="157">
                  <c:v>1.213888889</c:v>
                </c:pt>
                <c:pt idx="158">
                  <c:v>1.219444444</c:v>
                </c:pt>
                <c:pt idx="159">
                  <c:v>1.225</c:v>
                </c:pt>
                <c:pt idx="160">
                  <c:v>1.230555556</c:v>
                </c:pt>
                <c:pt idx="161">
                  <c:v>1.236111111</c:v>
                </c:pt>
                <c:pt idx="162">
                  <c:v>1.241666667</c:v>
                </c:pt>
                <c:pt idx="163">
                  <c:v>1.247222222</c:v>
                </c:pt>
                <c:pt idx="164">
                  <c:v>1.252777778</c:v>
                </c:pt>
                <c:pt idx="165">
                  <c:v>1.258333333</c:v>
                </c:pt>
                <c:pt idx="166">
                  <c:v>1.263888889</c:v>
                </c:pt>
                <c:pt idx="167">
                  <c:v>1.269444444</c:v>
                </c:pt>
                <c:pt idx="168">
                  <c:v>1.275</c:v>
                </c:pt>
                <c:pt idx="169">
                  <c:v>1.280555556</c:v>
                </c:pt>
                <c:pt idx="170">
                  <c:v>1.286111111</c:v>
                </c:pt>
                <c:pt idx="171">
                  <c:v>1.291666667</c:v>
                </c:pt>
                <c:pt idx="172">
                  <c:v>1.297222222</c:v>
                </c:pt>
                <c:pt idx="173">
                  <c:v>1.302777778</c:v>
                </c:pt>
                <c:pt idx="174">
                  <c:v>1.308333333</c:v>
                </c:pt>
                <c:pt idx="175">
                  <c:v>1.313888889</c:v>
                </c:pt>
                <c:pt idx="176">
                  <c:v>1.319444444</c:v>
                </c:pt>
                <c:pt idx="177">
                  <c:v>1.325</c:v>
                </c:pt>
                <c:pt idx="178">
                  <c:v>1.330555556</c:v>
                </c:pt>
                <c:pt idx="179">
                  <c:v>1.336111111</c:v>
                </c:pt>
                <c:pt idx="180">
                  <c:v>1.341666667</c:v>
                </c:pt>
                <c:pt idx="181">
                  <c:v>1.347222222</c:v>
                </c:pt>
                <c:pt idx="182">
                  <c:v>1.352777778</c:v>
                </c:pt>
                <c:pt idx="183">
                  <c:v>1.358333333</c:v>
                </c:pt>
                <c:pt idx="184">
                  <c:v>1.363888889</c:v>
                </c:pt>
                <c:pt idx="185">
                  <c:v>1.369444444</c:v>
                </c:pt>
                <c:pt idx="186">
                  <c:v>1.375</c:v>
                </c:pt>
              </c:strCache>
            </c:strRef>
          </c:cat>
          <c:val>
            <c:numRef>
              <c:f>[1]Feuil1!$D$2:$D$187</c:f>
              <c:numCache>
                <c:formatCode>General</c:formatCode>
                <c:ptCount val="186"/>
                <c:pt idx="0">
                  <c:v>36.570033430000002</c:v>
                </c:pt>
                <c:pt idx="1">
                  <c:v>36.570988700000001</c:v>
                </c:pt>
                <c:pt idx="2">
                  <c:v>36.572299999999998</c:v>
                </c:pt>
                <c:pt idx="3">
                  <c:v>36.54</c:v>
                </c:pt>
                <c:pt idx="4">
                  <c:v>36.763555555555499</c:v>
                </c:pt>
                <c:pt idx="5">
                  <c:v>37.028509259259003</c:v>
                </c:pt>
                <c:pt idx="6">
                  <c:v>37.187685185185202</c:v>
                </c:pt>
                <c:pt idx="7">
                  <c:v>37.495833333333302</c:v>
                </c:pt>
                <c:pt idx="8">
                  <c:v>37.643981481481482</c:v>
                </c:pt>
                <c:pt idx="9">
                  <c:v>37.808796296296293</c:v>
                </c:pt>
                <c:pt idx="10">
                  <c:v>37.94</c:v>
                </c:pt>
                <c:pt idx="11">
                  <c:v>38.124453299999999</c:v>
                </c:pt>
                <c:pt idx="12">
                  <c:v>38.128874000000003</c:v>
                </c:pt>
                <c:pt idx="13">
                  <c:v>38.107770000000002</c:v>
                </c:pt>
                <c:pt idx="14">
                  <c:v>38.08775</c:v>
                </c:pt>
                <c:pt idx="15">
                  <c:v>37.880000000000003</c:v>
                </c:pt>
                <c:pt idx="16">
                  <c:v>37.861111111111001</c:v>
                </c:pt>
                <c:pt idx="17">
                  <c:v>37.886111111111113</c:v>
                </c:pt>
                <c:pt idx="18">
                  <c:v>37.785555555555554</c:v>
                </c:pt>
                <c:pt idx="19">
                  <c:v>37.770000000000003</c:v>
                </c:pt>
                <c:pt idx="20">
                  <c:v>37.765000000000001</c:v>
                </c:pt>
                <c:pt idx="21">
                  <c:v>37.630000000000003</c:v>
                </c:pt>
                <c:pt idx="22">
                  <c:v>37.573333333333331</c:v>
                </c:pt>
                <c:pt idx="23">
                  <c:v>37.516666666666701</c:v>
                </c:pt>
                <c:pt idx="24">
                  <c:v>37.46</c:v>
                </c:pt>
                <c:pt idx="25">
                  <c:v>37.479999999999997</c:v>
                </c:pt>
                <c:pt idx="26">
                  <c:v>37.424259259259301</c:v>
                </c:pt>
                <c:pt idx="27">
                  <c:v>37.383333333333333</c:v>
                </c:pt>
                <c:pt idx="28">
                  <c:v>37.342407407407407</c:v>
                </c:pt>
                <c:pt idx="29">
                  <c:v>37.301481481481403</c:v>
                </c:pt>
                <c:pt idx="30">
                  <c:v>37.260555555555399</c:v>
                </c:pt>
                <c:pt idx="31">
                  <c:v>37.219629629629502</c:v>
                </c:pt>
                <c:pt idx="32">
                  <c:v>37.130185185185184</c:v>
                </c:pt>
                <c:pt idx="33">
                  <c:v>37.105925925925924</c:v>
                </c:pt>
                <c:pt idx="34">
                  <c:v>37.131666666666675</c:v>
                </c:pt>
                <c:pt idx="35">
                  <c:v>37.086574074074079</c:v>
                </c:pt>
                <c:pt idx="36">
                  <c:v>37.041481481481497</c:v>
                </c:pt>
                <c:pt idx="37">
                  <c:v>37.06481481481481</c:v>
                </c:pt>
                <c:pt idx="38">
                  <c:v>37.070648148148145</c:v>
                </c:pt>
                <c:pt idx="39">
                  <c:v>37.077962962962964</c:v>
                </c:pt>
                <c:pt idx="40">
                  <c:v>37.023148148148152</c:v>
                </c:pt>
                <c:pt idx="41">
                  <c:v>36.968333333333298</c:v>
                </c:pt>
                <c:pt idx="42">
                  <c:v>37.102592592592586</c:v>
                </c:pt>
                <c:pt idx="43">
                  <c:v>37.132592592592587</c:v>
                </c:pt>
                <c:pt idx="44">
                  <c:v>37.130092592592582</c:v>
                </c:pt>
                <c:pt idx="45">
                  <c:v>37.12361111111111</c:v>
                </c:pt>
                <c:pt idx="46">
                  <c:v>37.117129629629602</c:v>
                </c:pt>
                <c:pt idx="47">
                  <c:v>37.135925925925925</c:v>
                </c:pt>
                <c:pt idx="48">
                  <c:v>37.134</c:v>
                </c:pt>
                <c:pt idx="49">
                  <c:v>37.131666666666675</c:v>
                </c:pt>
                <c:pt idx="50">
                  <c:v>37.096666666666664</c:v>
                </c:pt>
                <c:pt idx="51">
                  <c:v>37.084166666666668</c:v>
                </c:pt>
                <c:pt idx="52">
                  <c:v>37.067592592592597</c:v>
                </c:pt>
                <c:pt idx="53">
                  <c:v>37.111851851851853</c:v>
                </c:pt>
                <c:pt idx="54">
                  <c:v>37.118000000000002</c:v>
                </c:pt>
                <c:pt idx="55">
                  <c:v>37.121944444444445</c:v>
                </c:pt>
                <c:pt idx="56">
                  <c:v>37.101296296296304</c:v>
                </c:pt>
                <c:pt idx="57">
                  <c:v>37.14</c:v>
                </c:pt>
                <c:pt idx="58">
                  <c:v>37.157037037037036</c:v>
                </c:pt>
                <c:pt idx="59">
                  <c:v>37.15018518518518</c:v>
                </c:pt>
                <c:pt idx="60">
                  <c:v>37.144455000000001</c:v>
                </c:pt>
                <c:pt idx="61">
                  <c:v>37.141122000000003</c:v>
                </c:pt>
                <c:pt idx="62">
                  <c:v>37.137788999999998</c:v>
                </c:pt>
                <c:pt idx="63">
                  <c:v>37.134456</c:v>
                </c:pt>
                <c:pt idx="64">
                  <c:v>37.131123000000002</c:v>
                </c:pt>
                <c:pt idx="65">
                  <c:v>37.051277900000002</c:v>
                </c:pt>
                <c:pt idx="66">
                  <c:v>37.012445700000001</c:v>
                </c:pt>
                <c:pt idx="67">
                  <c:v>37.012112399999999</c:v>
                </c:pt>
                <c:pt idx="68">
                  <c:v>36.990122220000003</c:v>
                </c:pt>
                <c:pt idx="69">
                  <c:v>36.92886</c:v>
                </c:pt>
                <c:pt idx="70">
                  <c:v>37.011584266666603</c:v>
                </c:pt>
                <c:pt idx="71">
                  <c:v>37.061137251666601</c:v>
                </c:pt>
                <c:pt idx="72">
                  <c:v>37.107666666699998</c:v>
                </c:pt>
                <c:pt idx="73">
                  <c:v>37.109490166666703</c:v>
                </c:pt>
                <c:pt idx="74">
                  <c:v>37.107372666666699</c:v>
                </c:pt>
                <c:pt idx="75">
                  <c:v>37.100445000000001</c:v>
                </c:pt>
                <c:pt idx="76">
                  <c:v>37.100877799999999</c:v>
                </c:pt>
                <c:pt idx="77">
                  <c:v>37.096403622222198</c:v>
                </c:pt>
                <c:pt idx="78">
                  <c:v>37.093156188888898</c:v>
                </c:pt>
                <c:pt idx="79">
                  <c:v>37.089090925925902</c:v>
                </c:pt>
                <c:pt idx="80">
                  <c:v>37.096403622222198</c:v>
                </c:pt>
                <c:pt idx="81">
                  <c:v>37.093156188888898</c:v>
                </c:pt>
                <c:pt idx="82">
                  <c:v>37.089090925925902</c:v>
                </c:pt>
                <c:pt idx="83">
                  <c:v>37.085230120370397</c:v>
                </c:pt>
                <c:pt idx="84">
                  <c:v>37.0813693148148</c:v>
                </c:pt>
                <c:pt idx="85">
                  <c:v>37.077508509259303</c:v>
                </c:pt>
                <c:pt idx="86">
                  <c:v>37.073647703703699</c:v>
                </c:pt>
                <c:pt idx="87">
                  <c:v>37.102222222222217</c:v>
                </c:pt>
                <c:pt idx="88">
                  <c:v>37.098518518518517</c:v>
                </c:pt>
                <c:pt idx="89">
                  <c:v>37.101388888888891</c:v>
                </c:pt>
                <c:pt idx="90">
                  <c:v>37.1203425925925</c:v>
                </c:pt>
                <c:pt idx="91">
                  <c:v>37.119999999999997</c:v>
                </c:pt>
                <c:pt idx="92">
                  <c:v>37.132024999999999</c:v>
                </c:pt>
                <c:pt idx="93">
                  <c:v>37.123129629629602</c:v>
                </c:pt>
                <c:pt idx="94">
                  <c:v>37.121000000000002</c:v>
                </c:pt>
                <c:pt idx="95">
                  <c:v>37.194814814814805</c:v>
                </c:pt>
                <c:pt idx="96">
                  <c:v>37.1437037037037</c:v>
                </c:pt>
                <c:pt idx="97">
                  <c:v>37.190925925925903</c:v>
                </c:pt>
                <c:pt idx="98">
                  <c:v>37.130472222222203</c:v>
                </c:pt>
                <c:pt idx="99">
                  <c:v>37.146583333333297</c:v>
                </c:pt>
                <c:pt idx="100">
                  <c:v>37.369444444445001</c:v>
                </c:pt>
                <c:pt idx="101">
                  <c:v>37.446087962962899</c:v>
                </c:pt>
                <c:pt idx="102">
                  <c:v>37.576462962962957</c:v>
                </c:pt>
                <c:pt idx="103">
                  <c:v>37.534277777777774</c:v>
                </c:pt>
                <c:pt idx="104">
                  <c:v>37.637759259259262</c:v>
                </c:pt>
                <c:pt idx="105">
                  <c:v>37.648388888888903</c:v>
                </c:pt>
                <c:pt idx="106">
                  <c:v>37.672592592592999</c:v>
                </c:pt>
                <c:pt idx="107">
                  <c:v>37.720129629629596</c:v>
                </c:pt>
                <c:pt idx="108">
                  <c:v>37.753851851851898</c:v>
                </c:pt>
                <c:pt idx="109">
                  <c:v>37.71</c:v>
                </c:pt>
                <c:pt idx="110">
                  <c:v>37.704666666666668</c:v>
                </c:pt>
                <c:pt idx="111">
                  <c:v>37.581055555555558</c:v>
                </c:pt>
                <c:pt idx="112">
                  <c:v>37.548611111111107</c:v>
                </c:pt>
                <c:pt idx="113">
                  <c:v>37.457555555555551</c:v>
                </c:pt>
                <c:pt idx="114">
                  <c:v>37.541666666666664</c:v>
                </c:pt>
                <c:pt idx="115">
                  <c:v>37.511209999999998</c:v>
                </c:pt>
                <c:pt idx="116">
                  <c:v>37.446203703703702</c:v>
                </c:pt>
                <c:pt idx="117">
                  <c:v>37.265462962962964</c:v>
                </c:pt>
                <c:pt idx="118">
                  <c:v>37.119259259259259</c:v>
                </c:pt>
                <c:pt idx="119">
                  <c:v>37.022500000000001</c:v>
                </c:pt>
                <c:pt idx="120">
                  <c:v>36.9257407407407</c:v>
                </c:pt>
                <c:pt idx="121">
                  <c:v>36.880129629629636</c:v>
                </c:pt>
                <c:pt idx="122">
                  <c:v>36.728703703703701</c:v>
                </c:pt>
                <c:pt idx="123">
                  <c:v>36.591666666666669</c:v>
                </c:pt>
                <c:pt idx="124">
                  <c:v>36.454629629629601</c:v>
                </c:pt>
                <c:pt idx="125">
                  <c:v>36.463981481481483</c:v>
                </c:pt>
                <c:pt idx="126">
                  <c:v>36.431388888888897</c:v>
                </c:pt>
                <c:pt idx="127">
                  <c:v>36.351388888888891</c:v>
                </c:pt>
                <c:pt idx="128">
                  <c:v>36.414722222222217</c:v>
                </c:pt>
                <c:pt idx="129">
                  <c:v>36.408444444444442</c:v>
                </c:pt>
                <c:pt idx="130">
                  <c:v>36.402166666666702</c:v>
                </c:pt>
                <c:pt idx="131">
                  <c:v>36.336722222222221</c:v>
                </c:pt>
                <c:pt idx="132">
                  <c:v>36.307833333333335</c:v>
                </c:pt>
                <c:pt idx="133">
                  <c:v>36.283481481481481</c:v>
                </c:pt>
                <c:pt idx="134">
                  <c:v>36.273999999999994</c:v>
                </c:pt>
                <c:pt idx="135">
                  <c:v>36.2645185185185</c:v>
                </c:pt>
                <c:pt idx="136">
                  <c:v>36.212870370370375</c:v>
                </c:pt>
                <c:pt idx="137">
                  <c:v>36.228851851851843</c:v>
                </c:pt>
                <c:pt idx="138">
                  <c:v>36.235351851851846</c:v>
                </c:pt>
                <c:pt idx="139">
                  <c:v>36.204925925925899</c:v>
                </c:pt>
                <c:pt idx="140">
                  <c:v>36.192462962962964</c:v>
                </c:pt>
                <c:pt idx="141">
                  <c:v>36.18</c:v>
                </c:pt>
                <c:pt idx="142">
                  <c:v>36.202222222222225</c:v>
                </c:pt>
                <c:pt idx="143">
                  <c:v>36.233333333333327</c:v>
                </c:pt>
                <c:pt idx="144">
                  <c:v>36.258148148148145</c:v>
                </c:pt>
                <c:pt idx="145">
                  <c:v>36.282962962962998</c:v>
                </c:pt>
                <c:pt idx="146">
                  <c:v>36.206666666666671</c:v>
                </c:pt>
                <c:pt idx="147">
                  <c:v>36.225555555555559</c:v>
                </c:pt>
                <c:pt idx="148">
                  <c:v>36.223333333333329</c:v>
                </c:pt>
                <c:pt idx="149">
                  <c:v>36.222962962962953</c:v>
                </c:pt>
                <c:pt idx="150">
                  <c:v>36.220740740740801</c:v>
                </c:pt>
                <c:pt idx="151">
                  <c:v>36.18518518518519</c:v>
                </c:pt>
                <c:pt idx="152">
                  <c:v>36.149629629629629</c:v>
                </c:pt>
                <c:pt idx="153">
                  <c:v>36.146666666666675</c:v>
                </c:pt>
                <c:pt idx="154">
                  <c:v>36.162962962962951</c:v>
                </c:pt>
                <c:pt idx="155">
                  <c:v>36.141851851851797</c:v>
                </c:pt>
                <c:pt idx="156">
                  <c:v>36.124814814814812</c:v>
                </c:pt>
                <c:pt idx="157">
                  <c:v>36.107777777777784</c:v>
                </c:pt>
                <c:pt idx="158">
                  <c:v>36.053888888888892</c:v>
                </c:pt>
                <c:pt idx="159">
                  <c:v>36.174074074074078</c:v>
                </c:pt>
                <c:pt idx="160">
                  <c:v>36.204259259259302</c:v>
                </c:pt>
                <c:pt idx="161">
                  <c:v>36.211851851851847</c:v>
                </c:pt>
                <c:pt idx="162">
                  <c:v>36.202592592592595</c:v>
                </c:pt>
                <c:pt idx="163">
                  <c:v>36.258148148148138</c:v>
                </c:pt>
                <c:pt idx="164">
                  <c:v>36.305185185185188</c:v>
                </c:pt>
                <c:pt idx="165">
                  <c:v>36.379629629629626</c:v>
                </c:pt>
                <c:pt idx="166">
                  <c:v>36.394074074074098</c:v>
                </c:pt>
                <c:pt idx="167">
                  <c:v>36.413333333333327</c:v>
                </c:pt>
                <c:pt idx="168">
                  <c:v>36.39314814814815</c:v>
                </c:pt>
                <c:pt idx="169">
                  <c:v>36.405000000000001</c:v>
                </c:pt>
                <c:pt idx="170">
                  <c:v>36.42</c:v>
                </c:pt>
                <c:pt idx="171">
                  <c:v>36.445555555555558</c:v>
                </c:pt>
                <c:pt idx="172">
                  <c:v>36.461851851851854</c:v>
                </c:pt>
                <c:pt idx="173">
                  <c:v>36.505000000000003</c:v>
                </c:pt>
                <c:pt idx="174">
                  <c:v>36.548148148148201</c:v>
                </c:pt>
                <c:pt idx="175">
                  <c:v>36.591296296296299</c:v>
                </c:pt>
                <c:pt idx="176">
                  <c:v>36.64</c:v>
                </c:pt>
                <c:pt idx="177">
                  <c:v>36.661111111111104</c:v>
                </c:pt>
                <c:pt idx="178">
                  <c:v>36.716111111111118</c:v>
                </c:pt>
                <c:pt idx="179">
                  <c:v>36.719444444444456</c:v>
                </c:pt>
                <c:pt idx="180">
                  <c:v>36.69</c:v>
                </c:pt>
                <c:pt idx="181">
                  <c:v>36.664999999999992</c:v>
                </c:pt>
                <c:pt idx="182">
                  <c:v>36.638888888888886</c:v>
                </c:pt>
                <c:pt idx="183">
                  <c:v>36.804444444444442</c:v>
                </c:pt>
                <c:pt idx="184">
                  <c:v>36.840000000000003</c:v>
                </c:pt>
                <c:pt idx="185">
                  <c:v>36.878888888888888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01-473C-AC07-EFA7D2B5F84C}"/>
            </c:ext>
          </c:extLst>
        </c:ser>
        <c:ser>
          <c:idx val="3"/>
          <c:order val="3"/>
          <c:tx>
            <c:v>Fire Exp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[1]Feuil1!$E$5:$E$10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01-473C-AC07-EFA7D2B5F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121023"/>
        <c:axId val="422121439"/>
      </c:lineChart>
      <c:catAx>
        <c:axId val="42212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2121439"/>
        <c:crosses val="autoZero"/>
        <c:auto val="1"/>
        <c:lblAlgn val="ctr"/>
        <c:lblOffset val="100"/>
        <c:noMultiLvlLbl val="0"/>
      </c:catAx>
      <c:valAx>
        <c:axId val="4221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212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'AM PM Tcore'!$D$27:$AI$27</c:f>
              <c:numCache>
                <c:formatCode>0.00</c:formatCode>
                <c:ptCount val="32"/>
                <c:pt idx="0">
                  <c:v>36.539999999999949</c:v>
                </c:pt>
                <c:pt idx="1">
                  <c:v>36.759999999999941</c:v>
                </c:pt>
                <c:pt idx="2">
                  <c:v>37.029999999999966</c:v>
                </c:pt>
                <c:pt idx="3">
                  <c:v>37.189999999999948</c:v>
                </c:pt>
                <c:pt idx="4">
                  <c:v>37.499999999999957</c:v>
                </c:pt>
                <c:pt idx="5">
                  <c:v>37.639999999999965</c:v>
                </c:pt>
                <c:pt idx="6">
                  <c:v>37.809999999999945</c:v>
                </c:pt>
                <c:pt idx="7">
                  <c:v>37.939999999999955</c:v>
                </c:pt>
                <c:pt idx="8">
                  <c:v>38.119999999999969</c:v>
                </c:pt>
                <c:pt idx="9">
                  <c:v>38.1301855362521</c:v>
                </c:pt>
                <c:pt idx="10">
                  <c:v>38.149999999999956</c:v>
                </c:pt>
                <c:pt idx="11">
                  <c:v>38.096362207445338</c:v>
                </c:pt>
                <c:pt idx="12">
                  <c:v>37.879999999999953</c:v>
                </c:pt>
                <c:pt idx="13">
                  <c:v>37.859845695073645</c:v>
                </c:pt>
                <c:pt idx="14">
                  <c:v>37.859844695073654</c:v>
                </c:pt>
                <c:pt idx="15">
                  <c:v>37.78999132287327</c:v>
                </c:pt>
                <c:pt idx="16">
                  <c:v>37.769854764301741</c:v>
                </c:pt>
                <c:pt idx="17">
                  <c:v>37.76715284119355</c:v>
                </c:pt>
                <c:pt idx="18">
                  <c:v>37.629999999999946</c:v>
                </c:pt>
                <c:pt idx="19">
                  <c:v>37.569999999999943</c:v>
                </c:pt>
                <c:pt idx="20">
                  <c:v>37.519999999999968</c:v>
                </c:pt>
                <c:pt idx="21">
                  <c:v>37.459999999999958</c:v>
                </c:pt>
                <c:pt idx="22">
                  <c:v>37.459998999999961</c:v>
                </c:pt>
                <c:pt idx="23">
                  <c:v>37.419999999999966</c:v>
                </c:pt>
                <c:pt idx="24">
                  <c:v>37.37999999999996</c:v>
                </c:pt>
                <c:pt idx="25">
                  <c:v>37.339999999999947</c:v>
                </c:pt>
                <c:pt idx="26">
                  <c:v>37.299999999999955</c:v>
                </c:pt>
                <c:pt idx="27">
                  <c:v>37.259999999999941</c:v>
                </c:pt>
                <c:pt idx="28">
                  <c:v>37.21999999999997</c:v>
                </c:pt>
                <c:pt idx="29">
                  <c:v>37.129999999999946</c:v>
                </c:pt>
                <c:pt idx="30">
                  <c:v>37.109999999999957</c:v>
                </c:pt>
                <c:pt idx="31">
                  <c:v>37.109998999999959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9-4A60-BD2E-44CD88350EE6}"/>
            </c:ext>
          </c:extLst>
        </c:ser>
        <c:ser>
          <c:idx val="1"/>
          <c:order val="1"/>
          <c:tx>
            <c:v>PM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'AM PM Tcore'!$AJ$27:$BO$27</c:f>
              <c:numCache>
                <c:formatCode>0.00</c:formatCode>
                <c:ptCount val="32"/>
                <c:pt idx="0">
                  <c:v>37.146583329999942</c:v>
                </c:pt>
                <c:pt idx="1">
                  <c:v>37.369999999999948</c:v>
                </c:pt>
                <c:pt idx="2">
                  <c:v>37.449999999999946</c:v>
                </c:pt>
                <c:pt idx="3">
                  <c:v>37.579999999999949</c:v>
                </c:pt>
                <c:pt idx="4">
                  <c:v>37.580000999999946</c:v>
                </c:pt>
                <c:pt idx="5">
                  <c:v>37.640013519131223</c:v>
                </c:pt>
                <c:pt idx="6">
                  <c:v>37.650964803991727</c:v>
                </c:pt>
                <c:pt idx="7">
                  <c:v>37.670476346062209</c:v>
                </c:pt>
                <c:pt idx="8">
                  <c:v>37.720046684623412</c:v>
                </c:pt>
                <c:pt idx="9">
                  <c:v>37.749999999999957</c:v>
                </c:pt>
                <c:pt idx="10">
                  <c:v>37.709999999999937</c:v>
                </c:pt>
                <c:pt idx="11">
                  <c:v>37.699859831667631</c:v>
                </c:pt>
                <c:pt idx="12">
                  <c:v>37.579999999999949</c:v>
                </c:pt>
                <c:pt idx="13">
                  <c:v>37.549982955698987</c:v>
                </c:pt>
                <c:pt idx="14">
                  <c:v>37.459999999999937</c:v>
                </c:pt>
                <c:pt idx="15">
                  <c:v>37.459998999999939</c:v>
                </c:pt>
                <c:pt idx="16">
                  <c:v>37.459997999999949</c:v>
                </c:pt>
                <c:pt idx="17">
                  <c:v>37.446713156621279</c:v>
                </c:pt>
                <c:pt idx="18">
                  <c:v>37.269999999999946</c:v>
                </c:pt>
                <c:pt idx="19">
                  <c:v>37.119999999999948</c:v>
                </c:pt>
                <c:pt idx="20">
                  <c:v>37.01999999999996</c:v>
                </c:pt>
                <c:pt idx="21">
                  <c:v>36.929999999999957</c:v>
                </c:pt>
                <c:pt idx="22">
                  <c:v>36.879999999999953</c:v>
                </c:pt>
                <c:pt idx="23">
                  <c:v>36.729999999999961</c:v>
                </c:pt>
                <c:pt idx="24">
                  <c:v>36.589999999999961</c:v>
                </c:pt>
                <c:pt idx="25">
                  <c:v>36.449999999999946</c:v>
                </c:pt>
                <c:pt idx="26">
                  <c:v>36.449998999999941</c:v>
                </c:pt>
                <c:pt idx="27">
                  <c:v>36.429999999999943</c:v>
                </c:pt>
                <c:pt idx="28">
                  <c:v>36.349999999999945</c:v>
                </c:pt>
                <c:pt idx="29">
                  <c:v>36.349998999999947</c:v>
                </c:pt>
                <c:pt idx="30">
                  <c:v>36.34999799999995</c:v>
                </c:pt>
                <c:pt idx="31">
                  <c:v>36.349996999999952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29-4A60-BD2E-44CD8835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84656"/>
        <c:axId val="442185072"/>
      </c:lineChart>
      <c:catAx>
        <c:axId val="442184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85072"/>
        <c:crosses val="autoZero"/>
        <c:auto val="1"/>
        <c:lblAlgn val="ctr"/>
        <c:lblOffset val="100"/>
        <c:noMultiLvlLbl val="0"/>
      </c:catAx>
      <c:valAx>
        <c:axId val="4421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8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'AM PM Tcore'!$D$27:$AI$27</c:f>
              <c:numCache>
                <c:formatCode>0.00</c:formatCode>
                <c:ptCount val="32"/>
                <c:pt idx="0">
                  <c:v>36.539999999999949</c:v>
                </c:pt>
                <c:pt idx="1">
                  <c:v>36.759999999999941</c:v>
                </c:pt>
                <c:pt idx="2">
                  <c:v>37.029999999999966</c:v>
                </c:pt>
                <c:pt idx="3">
                  <c:v>37.189999999999948</c:v>
                </c:pt>
                <c:pt idx="4">
                  <c:v>37.499999999999957</c:v>
                </c:pt>
                <c:pt idx="5">
                  <c:v>37.639999999999965</c:v>
                </c:pt>
                <c:pt idx="6">
                  <c:v>37.809999999999945</c:v>
                </c:pt>
                <c:pt idx="7">
                  <c:v>37.939999999999955</c:v>
                </c:pt>
                <c:pt idx="8">
                  <c:v>38.119999999999969</c:v>
                </c:pt>
                <c:pt idx="9">
                  <c:v>38.1301855362521</c:v>
                </c:pt>
                <c:pt idx="10">
                  <c:v>38.149999999999956</c:v>
                </c:pt>
                <c:pt idx="11">
                  <c:v>38.096362207445338</c:v>
                </c:pt>
                <c:pt idx="12">
                  <c:v>37.879999999999953</c:v>
                </c:pt>
                <c:pt idx="13">
                  <c:v>37.859845695073645</c:v>
                </c:pt>
                <c:pt idx="14">
                  <c:v>37.859844695073654</c:v>
                </c:pt>
                <c:pt idx="15">
                  <c:v>37.78999132287327</c:v>
                </c:pt>
                <c:pt idx="16">
                  <c:v>37.769854764301741</c:v>
                </c:pt>
                <c:pt idx="17">
                  <c:v>37.76715284119355</c:v>
                </c:pt>
                <c:pt idx="18">
                  <c:v>37.629999999999946</c:v>
                </c:pt>
                <c:pt idx="19">
                  <c:v>37.569999999999943</c:v>
                </c:pt>
                <c:pt idx="20">
                  <c:v>37.519999999999968</c:v>
                </c:pt>
                <c:pt idx="21">
                  <c:v>37.459999999999958</c:v>
                </c:pt>
                <c:pt idx="22">
                  <c:v>37.459998999999961</c:v>
                </c:pt>
                <c:pt idx="23">
                  <c:v>37.419999999999966</c:v>
                </c:pt>
                <c:pt idx="24">
                  <c:v>37.37999999999996</c:v>
                </c:pt>
                <c:pt idx="25">
                  <c:v>37.339999999999947</c:v>
                </c:pt>
                <c:pt idx="26">
                  <c:v>37.299999999999955</c:v>
                </c:pt>
                <c:pt idx="27">
                  <c:v>37.259999999999941</c:v>
                </c:pt>
                <c:pt idx="28">
                  <c:v>37.21999999999997</c:v>
                </c:pt>
                <c:pt idx="29">
                  <c:v>37.129999999999946</c:v>
                </c:pt>
                <c:pt idx="30">
                  <c:v>37.109999999999957</c:v>
                </c:pt>
                <c:pt idx="31">
                  <c:v>37.109998999999959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B-4194-AE37-225903397EF7}"/>
            </c:ext>
          </c:extLst>
        </c:ser>
        <c:ser>
          <c:idx val="1"/>
          <c:order val="1"/>
          <c:tx>
            <c:v>PM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'AM PM Tcore'!$AJ$27:$BO$27</c:f>
              <c:numCache>
                <c:formatCode>0.00</c:formatCode>
                <c:ptCount val="32"/>
                <c:pt idx="0">
                  <c:v>37.146583329999942</c:v>
                </c:pt>
                <c:pt idx="1">
                  <c:v>37.369999999999948</c:v>
                </c:pt>
                <c:pt idx="2">
                  <c:v>37.449999999999946</c:v>
                </c:pt>
                <c:pt idx="3">
                  <c:v>37.579999999999949</c:v>
                </c:pt>
                <c:pt idx="4">
                  <c:v>37.580000999999946</c:v>
                </c:pt>
                <c:pt idx="5">
                  <c:v>37.640013519131223</c:v>
                </c:pt>
                <c:pt idx="6">
                  <c:v>37.650964803991727</c:v>
                </c:pt>
                <c:pt idx="7">
                  <c:v>37.670476346062209</c:v>
                </c:pt>
                <c:pt idx="8">
                  <c:v>37.720046684623412</c:v>
                </c:pt>
                <c:pt idx="9">
                  <c:v>37.749999999999957</c:v>
                </c:pt>
                <c:pt idx="10">
                  <c:v>37.709999999999937</c:v>
                </c:pt>
                <c:pt idx="11">
                  <c:v>37.699859831667631</c:v>
                </c:pt>
                <c:pt idx="12">
                  <c:v>37.579999999999949</c:v>
                </c:pt>
                <c:pt idx="13">
                  <c:v>37.549982955698987</c:v>
                </c:pt>
                <c:pt idx="14">
                  <c:v>37.459999999999937</c:v>
                </c:pt>
                <c:pt idx="15">
                  <c:v>37.459998999999939</c:v>
                </c:pt>
                <c:pt idx="16">
                  <c:v>37.459997999999949</c:v>
                </c:pt>
                <c:pt idx="17">
                  <c:v>37.446713156621279</c:v>
                </c:pt>
                <c:pt idx="18">
                  <c:v>37.269999999999946</c:v>
                </c:pt>
                <c:pt idx="19">
                  <c:v>37.119999999999948</c:v>
                </c:pt>
                <c:pt idx="20">
                  <c:v>37.01999999999996</c:v>
                </c:pt>
                <c:pt idx="21">
                  <c:v>36.929999999999957</c:v>
                </c:pt>
                <c:pt idx="22">
                  <c:v>36.879999999999953</c:v>
                </c:pt>
                <c:pt idx="23">
                  <c:v>36.729999999999961</c:v>
                </c:pt>
                <c:pt idx="24">
                  <c:v>36.589999999999961</c:v>
                </c:pt>
                <c:pt idx="25">
                  <c:v>36.449999999999946</c:v>
                </c:pt>
                <c:pt idx="26">
                  <c:v>36.449998999999941</c:v>
                </c:pt>
                <c:pt idx="27">
                  <c:v>36.429999999999943</c:v>
                </c:pt>
                <c:pt idx="28">
                  <c:v>36.349999999999945</c:v>
                </c:pt>
                <c:pt idx="29">
                  <c:v>36.349998999999947</c:v>
                </c:pt>
                <c:pt idx="30">
                  <c:v>36.34999799999995</c:v>
                </c:pt>
                <c:pt idx="31">
                  <c:v>36.349996999999952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B-4194-AE37-22590339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84656"/>
        <c:axId val="442185072"/>
      </c:lineChart>
      <c:catAx>
        <c:axId val="442184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85072"/>
        <c:crosses val="autoZero"/>
        <c:auto val="1"/>
        <c:lblAlgn val="ctr"/>
        <c:lblOffset val="100"/>
        <c:noMultiLvlLbl val="0"/>
      </c:catAx>
      <c:valAx>
        <c:axId val="4421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8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648652</xdr:colOff>
      <xdr:row>2</xdr:row>
      <xdr:rowOff>124062</xdr:rowOff>
    </xdr:from>
    <xdr:to>
      <xdr:col>13</xdr:col>
      <xdr:colOff>707707</xdr:colOff>
      <xdr:row>25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36DE706-1287-4B6F-9B41-24EF9F889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523875</xdr:colOff>
      <xdr:row>6</xdr:row>
      <xdr:rowOff>180022</xdr:rowOff>
    </xdr:from>
    <xdr:to>
      <xdr:col>33</xdr:col>
      <xdr:colOff>352425</xdr:colOff>
      <xdr:row>22</xdr:row>
      <xdr:rowOff>25717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6AD761F-189F-4A36-B134-2360B916F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523875</xdr:colOff>
      <xdr:row>6</xdr:row>
      <xdr:rowOff>180022</xdr:rowOff>
    </xdr:from>
    <xdr:to>
      <xdr:col>27</xdr:col>
      <xdr:colOff>352425</xdr:colOff>
      <xdr:row>22</xdr:row>
      <xdr:rowOff>25717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04B0C1A-7FC9-45B4-8EF9-B80452635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sinor%20Tc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">
          <cell r="A1" t="str">
            <v>Time</v>
          </cell>
          <cell r="B1" t="str">
            <v>Cosinor Tcore Day-Off</v>
          </cell>
          <cell r="C1" t="str">
            <v>Mean Tcore Day-Off</v>
          </cell>
          <cell r="D1" t="str">
            <v>Mean Tcore Experimental Day</v>
          </cell>
        </row>
        <row r="2">
          <cell r="A2">
            <v>0.35833333333333101</v>
          </cell>
          <cell r="B2">
            <v>36.785156259734954</v>
          </cell>
          <cell r="C2">
            <v>36.51</v>
          </cell>
          <cell r="D2">
            <v>36.570033430000002</v>
          </cell>
        </row>
        <row r="3">
          <cell r="A3">
            <v>0.36388888888888699</v>
          </cell>
          <cell r="B3">
            <v>36.799951006484115</v>
          </cell>
          <cell r="C3">
            <v>36.511209999999998</v>
          </cell>
          <cell r="D3">
            <v>36.570988700000001</v>
          </cell>
        </row>
        <row r="4">
          <cell r="A4">
            <v>0.36944444444444302</v>
          </cell>
          <cell r="B4">
            <v>36.815021135212611</v>
          </cell>
          <cell r="C4">
            <v>36.521186999999998</v>
          </cell>
          <cell r="D4">
            <v>36.572299999999998</v>
          </cell>
        </row>
        <row r="5">
          <cell r="A5">
            <v>0.374999999999999</v>
          </cell>
          <cell r="B5">
            <v>36.830348285283861</v>
          </cell>
          <cell r="C5">
            <v>36.5342232</v>
          </cell>
          <cell r="D5">
            <v>36.54</v>
          </cell>
        </row>
        <row r="6">
          <cell r="A6">
            <v>0.38055555555555487</v>
          </cell>
          <cell r="B6">
            <v>36.845913782920277</v>
          </cell>
          <cell r="C6">
            <v>36.538870000000003</v>
          </cell>
          <cell r="D6">
            <v>36.763555555555499</v>
          </cell>
        </row>
        <row r="7">
          <cell r="A7">
            <v>0.38611111111111085</v>
          </cell>
          <cell r="B7">
            <v>36.861698663954364</v>
          </cell>
          <cell r="C7">
            <v>36.553339999999999</v>
          </cell>
          <cell r="D7">
            <v>37.028509259259003</v>
          </cell>
        </row>
        <row r="8">
          <cell r="A8">
            <v>0.39166666666666594</v>
          </cell>
          <cell r="B8">
            <v>36.87768369693368</v>
          </cell>
          <cell r="C8">
            <v>36.612209999999997</v>
          </cell>
          <cell r="D8">
            <v>37.187685185185202</v>
          </cell>
        </row>
        <row r="9">
          <cell r="A9">
            <v>0.39722222222222192</v>
          </cell>
          <cell r="B9">
            <v>36.893849406551375</v>
          </cell>
          <cell r="C9">
            <v>36.722320000000003</v>
          </cell>
          <cell r="D9">
            <v>37.495833333333302</v>
          </cell>
        </row>
        <row r="10">
          <cell r="A10">
            <v>0.4027777777777769</v>
          </cell>
          <cell r="B10">
            <v>36.910176097373878</v>
          </cell>
          <cell r="C10">
            <v>36.694299999999998</v>
          </cell>
          <cell r="D10">
            <v>37.643981481481482</v>
          </cell>
        </row>
        <row r="11">
          <cell r="A11">
            <v>0.40833333333333288</v>
          </cell>
          <cell r="B11">
            <v>36.926643877836746</v>
          </cell>
          <cell r="C11">
            <v>36.79645</v>
          </cell>
          <cell r="D11">
            <v>37.808796296296293</v>
          </cell>
        </row>
        <row r="12">
          <cell r="A12">
            <v>0.41388888888888886</v>
          </cell>
          <cell r="B12">
            <v>36.943232684479497</v>
          </cell>
          <cell r="C12">
            <v>36.911999999999999</v>
          </cell>
          <cell r="D12">
            <v>37.94</v>
          </cell>
        </row>
        <row r="13">
          <cell r="A13">
            <v>0.41944444444444384</v>
          </cell>
          <cell r="B13">
            <v>36.959922306389828</v>
          </cell>
          <cell r="C13">
            <v>36.932445000000001</v>
          </cell>
          <cell r="D13">
            <v>38.124453299999999</v>
          </cell>
        </row>
        <row r="14">
          <cell r="A14">
            <v>0.42499999999999993</v>
          </cell>
          <cell r="B14">
            <v>36.976692409827542</v>
          </cell>
          <cell r="C14">
            <v>36.875999999999998</v>
          </cell>
          <cell r="D14">
            <v>38.128874000000003</v>
          </cell>
        </row>
        <row r="15">
          <cell r="A15">
            <v>0.43055555555555491</v>
          </cell>
          <cell r="B15">
            <v>36.993522562998038</v>
          </cell>
          <cell r="C15">
            <v>36.89</v>
          </cell>
          <cell r="D15">
            <v>38.107770000000002</v>
          </cell>
        </row>
        <row r="16">
          <cell r="A16">
            <v>0.43611111111111089</v>
          </cell>
          <cell r="B16">
            <v>37.010392260945366</v>
          </cell>
          <cell r="C16">
            <v>36.899700000000003</v>
          </cell>
          <cell r="D16">
            <v>38.08775</v>
          </cell>
        </row>
        <row r="17">
          <cell r="A17">
            <v>0.44166666666666587</v>
          </cell>
          <cell r="B17">
            <v>37.027280950534326</v>
          </cell>
          <cell r="C17">
            <v>37.000121100000001</v>
          </cell>
          <cell r="D17">
            <v>37.880000000000003</v>
          </cell>
        </row>
        <row r="18">
          <cell r="A18">
            <v>0.44722222222222185</v>
          </cell>
          <cell r="B18">
            <v>37.044168055491326</v>
          </cell>
          <cell r="C18">
            <v>37.063333333333333</v>
          </cell>
          <cell r="D18">
            <v>37.861111111111001</v>
          </cell>
        </row>
        <row r="19">
          <cell r="A19">
            <v>0.45277777777777783</v>
          </cell>
          <cell r="B19">
            <v>37.061033001473398</v>
          </cell>
          <cell r="C19">
            <v>36.936666666666675</v>
          </cell>
          <cell r="D19">
            <v>37.886111111111113</v>
          </cell>
        </row>
        <row r="20">
          <cell r="A20">
            <v>0.45833333333333293</v>
          </cell>
          <cell r="B20">
            <v>37.077855241134898</v>
          </cell>
          <cell r="C20">
            <v>36.928879999999999</v>
          </cell>
          <cell r="D20">
            <v>37.785555555555554</v>
          </cell>
        </row>
        <row r="21">
          <cell r="A21">
            <v>0.46388888888888891</v>
          </cell>
          <cell r="B21">
            <v>37.094614279161256</v>
          </cell>
          <cell r="C21">
            <v>36.909999999999997</v>
          </cell>
          <cell r="D21">
            <v>37.770000000000003</v>
          </cell>
        </row>
        <row r="22">
          <cell r="A22">
            <v>0.46944444444444389</v>
          </cell>
          <cell r="B22">
            <v>37.111289697239378</v>
          </cell>
          <cell r="C22">
            <v>36.900010000000002</v>
          </cell>
          <cell r="D22">
            <v>37.765000000000001</v>
          </cell>
        </row>
        <row r="23">
          <cell r="A23">
            <v>0.47499999999999987</v>
          </cell>
          <cell r="B23">
            <v>37.127861178934261</v>
          </cell>
          <cell r="C23">
            <v>36.89667</v>
          </cell>
          <cell r="D23">
            <v>37.630000000000003</v>
          </cell>
        </row>
        <row r="24">
          <cell r="A24">
            <v>0.48055555555555485</v>
          </cell>
          <cell r="B24">
            <v>37.144308534441379</v>
          </cell>
          <cell r="C24">
            <v>36.893329999999999</v>
          </cell>
          <cell r="D24">
            <v>37.573333333333331</v>
          </cell>
        </row>
        <row r="25">
          <cell r="A25">
            <v>0.48611111111111094</v>
          </cell>
          <cell r="B25">
            <v>37.160611725184928</v>
          </cell>
          <cell r="C25">
            <v>36.832777777777778</v>
          </cell>
          <cell r="D25">
            <v>37.516666666666701</v>
          </cell>
        </row>
        <row r="26">
          <cell r="A26">
            <v>0.49166666666666592</v>
          </cell>
          <cell r="B26">
            <v>37.176750888231695</v>
          </cell>
          <cell r="C26">
            <v>36.84148148148148</v>
          </cell>
          <cell r="D26">
            <v>37.46</v>
          </cell>
        </row>
        <row r="27">
          <cell r="A27">
            <v>0.4972222222222219</v>
          </cell>
          <cell r="B27">
            <v>37.192706360491037</v>
          </cell>
          <cell r="C27">
            <v>36.802777777777997</v>
          </cell>
          <cell r="D27">
            <v>37.479999999999997</v>
          </cell>
        </row>
        <row r="28">
          <cell r="A28">
            <v>0.50277777777777788</v>
          </cell>
          <cell r="B28">
            <v>37.208458702671287</v>
          </cell>
          <cell r="C28">
            <v>36.925925925926002</v>
          </cell>
          <cell r="D28">
            <v>37.424259259259301</v>
          </cell>
        </row>
        <row r="29">
          <cell r="A29">
            <v>0.50833333333333286</v>
          </cell>
          <cell r="B29">
            <v>37.223988722963604</v>
          </cell>
          <cell r="C29">
            <v>37.004907407407408</v>
          </cell>
          <cell r="D29">
            <v>37.383333333333333</v>
          </cell>
        </row>
        <row r="30">
          <cell r="A30">
            <v>0.51388888888888884</v>
          </cell>
          <cell r="B30">
            <v>37.239277500424194</v>
          </cell>
          <cell r="C30">
            <v>36.952388888888891</v>
          </cell>
          <cell r="D30">
            <v>37.342407407407407</v>
          </cell>
        </row>
        <row r="31">
          <cell r="A31">
            <v>0.51944444444444393</v>
          </cell>
          <cell r="B31">
            <v>37.254306408026586</v>
          </cell>
          <cell r="C31">
            <v>36.899870370370401</v>
          </cell>
          <cell r="D31">
            <v>37.301481481481403</v>
          </cell>
        </row>
        <row r="32">
          <cell r="A32">
            <v>0.52499999999999991</v>
          </cell>
          <cell r="B32">
            <v>37.26171767564589</v>
          </cell>
          <cell r="C32">
            <v>36.935351851851856</v>
          </cell>
          <cell r="D32">
            <v>37.260555555555399</v>
          </cell>
        </row>
        <row r="33">
          <cell r="A33">
            <v>0.53055555555555489</v>
          </cell>
          <cell r="B33">
            <v>37.269057135355808</v>
          </cell>
          <cell r="C33">
            <v>36.940148148148097</v>
          </cell>
          <cell r="D33">
            <v>37.219629629629502</v>
          </cell>
        </row>
        <row r="34">
          <cell r="A34">
            <v>0.53611111111111087</v>
          </cell>
          <cell r="B34">
            <v>37.283511710916834</v>
          </cell>
          <cell r="C34">
            <v>36.93266666666667</v>
          </cell>
          <cell r="D34">
            <v>37.130185185185184</v>
          </cell>
        </row>
        <row r="35">
          <cell r="A35">
            <v>0.53888888888888886</v>
          </cell>
          <cell r="B35">
            <v>37.297652524030035</v>
          </cell>
          <cell r="C35">
            <v>36.925185185185192</v>
          </cell>
          <cell r="D35">
            <v>37.105925925925924</v>
          </cell>
        </row>
        <row r="36">
          <cell r="A36">
            <v>0.54166666666666585</v>
          </cell>
          <cell r="B36">
            <v>37.311462346287151</v>
          </cell>
          <cell r="C36">
            <v>36.96685185185185</v>
          </cell>
          <cell r="D36">
            <v>37.131666666666675</v>
          </cell>
        </row>
        <row r="37">
          <cell r="A37">
            <v>0.54722222222222183</v>
          </cell>
          <cell r="B37">
            <v>37.324924352541409</v>
          </cell>
          <cell r="C37">
            <v>37.044444444444501</v>
          </cell>
          <cell r="D37">
            <v>37.086574074074079</v>
          </cell>
        </row>
        <row r="38">
          <cell r="A38">
            <v>0.55277777777777881</v>
          </cell>
          <cell r="B38">
            <v>37.338022141406398</v>
          </cell>
          <cell r="C38">
            <v>37.048518518518527</v>
          </cell>
          <cell r="D38">
            <v>37.041481481481497</v>
          </cell>
        </row>
        <row r="39">
          <cell r="A39">
            <v>0.5583333333333329</v>
          </cell>
          <cell r="B39">
            <v>37.350739755238664</v>
          </cell>
          <cell r="C39">
            <v>37.052592592592596</v>
          </cell>
          <cell r="D39">
            <v>37.06481481481481</v>
          </cell>
        </row>
        <row r="40">
          <cell r="A40">
            <v>0.56388888888888888</v>
          </cell>
          <cell r="B40">
            <v>37.363061699579589</v>
          </cell>
          <cell r="C40">
            <v>37.062962962962963</v>
          </cell>
          <cell r="D40">
            <v>37.070648148148145</v>
          </cell>
        </row>
        <row r="41">
          <cell r="A41">
            <v>0.56944444444444386</v>
          </cell>
          <cell r="B41">
            <v>37.37497296203307</v>
          </cell>
          <cell r="C41">
            <v>37.084444444444443</v>
          </cell>
          <cell r="D41">
            <v>37.077962962962964</v>
          </cell>
        </row>
        <row r="42">
          <cell r="A42">
            <v>0.57500000000000084</v>
          </cell>
          <cell r="B42">
            <v>37.386459030555777</v>
          </cell>
          <cell r="C42">
            <v>37.122851851851856</v>
          </cell>
          <cell r="D42">
            <v>37.023148148148152</v>
          </cell>
        </row>
        <row r="43">
          <cell r="A43">
            <v>0.58055555555555582</v>
          </cell>
          <cell r="B43">
            <v>37.397505911137856</v>
          </cell>
          <cell r="C43">
            <v>37.161259259259303</v>
          </cell>
          <cell r="D43">
            <v>36.968333333333298</v>
          </cell>
        </row>
        <row r="44">
          <cell r="A44">
            <v>0.58611111111111092</v>
          </cell>
          <cell r="B44">
            <v>37.408100144852497</v>
          </cell>
          <cell r="C44">
            <v>37.213777777777779</v>
          </cell>
          <cell r="D44">
            <v>37.102592592592586</v>
          </cell>
        </row>
        <row r="45">
          <cell r="A45">
            <v>0.5916666666666659</v>
          </cell>
          <cell r="B45">
            <v>37.418228824253546</v>
          </cell>
          <cell r="C45">
            <v>37.324666666666666</v>
          </cell>
          <cell r="D45">
            <v>37.132592592592587</v>
          </cell>
        </row>
        <row r="46">
          <cell r="A46">
            <v>0.59722222222222188</v>
          </cell>
          <cell r="B46">
            <v>37.427879609101261</v>
          </cell>
          <cell r="C46">
            <v>37.471333333333334</v>
          </cell>
          <cell r="D46">
            <v>37.130092592592582</v>
          </cell>
        </row>
        <row r="47">
          <cell r="A47">
            <v>0.60277777777777786</v>
          </cell>
          <cell r="B47">
            <v>37.437040741396984</v>
          </cell>
          <cell r="C47">
            <v>37.559777777777782</v>
          </cell>
          <cell r="D47">
            <v>37.12361111111111</v>
          </cell>
        </row>
        <row r="48">
          <cell r="A48">
            <v>0.60833333333333384</v>
          </cell>
          <cell r="B48">
            <v>37.445701059708476</v>
          </cell>
          <cell r="C48">
            <v>37.648222222222202</v>
          </cell>
          <cell r="D48">
            <v>37.117129629629602</v>
          </cell>
        </row>
        <row r="49">
          <cell r="A49">
            <v>0.61388888888888982</v>
          </cell>
          <cell r="B49">
            <v>37.453850012768399</v>
          </cell>
          <cell r="C49">
            <v>37.572000000000003</v>
          </cell>
          <cell r="D49">
            <v>37.135925925925925</v>
          </cell>
        </row>
        <row r="50">
          <cell r="A50">
            <v>0.61944444444444391</v>
          </cell>
          <cell r="B50">
            <v>37.461477672329387</v>
          </cell>
          <cell r="C50">
            <v>37.519777777777776</v>
          </cell>
          <cell r="D50">
            <v>37.134</v>
          </cell>
        </row>
        <row r="51">
          <cell r="A51">
            <v>0.62499999999999989</v>
          </cell>
          <cell r="B51">
            <v>37.468574745260142</v>
          </cell>
          <cell r="C51">
            <v>37.521296296296299</v>
          </cell>
          <cell r="D51">
            <v>37.131666666666675</v>
          </cell>
        </row>
        <row r="52">
          <cell r="A52">
            <v>0.63055555555555487</v>
          </cell>
          <cell r="B52">
            <v>37.475132584867637</v>
          </cell>
          <cell r="C52">
            <v>37.596481481481476</v>
          </cell>
          <cell r="D52">
            <v>37.096666666666664</v>
          </cell>
        </row>
        <row r="53">
          <cell r="A53">
            <v>0.63611111111111085</v>
          </cell>
          <cell r="B53">
            <v>37.481143201431827</v>
          </cell>
          <cell r="C53">
            <v>37.671666666666702</v>
          </cell>
          <cell r="D53">
            <v>37.084166666666668</v>
          </cell>
        </row>
        <row r="54">
          <cell r="A54">
            <v>0.64166666666666683</v>
          </cell>
          <cell r="B54">
            <v>37.486599271939852</v>
          </cell>
          <cell r="C54">
            <v>37.721481481481483</v>
          </cell>
          <cell r="D54">
            <v>37.067592592592597</v>
          </cell>
        </row>
        <row r="55">
          <cell r="A55">
            <v>0.64722222222222281</v>
          </cell>
          <cell r="B55">
            <v>37.491494149008041</v>
          </cell>
          <cell r="C55">
            <v>37.810370370370364</v>
          </cell>
          <cell r="D55">
            <v>37.111851851851853</v>
          </cell>
        </row>
        <row r="56">
          <cell r="A56">
            <v>0.6527777777777779</v>
          </cell>
          <cell r="B56">
            <v>37.495821868980698</v>
          </cell>
          <cell r="C56">
            <v>37.828518518518521</v>
          </cell>
          <cell r="D56">
            <v>37.118000000000002</v>
          </cell>
        </row>
        <row r="57">
          <cell r="A57">
            <v>0.65833333333333288</v>
          </cell>
          <cell r="B57">
            <v>37.49957715919593</v>
          </cell>
          <cell r="C57">
            <v>37.765074074074079</v>
          </cell>
          <cell r="D57">
            <v>37.121944444444445</v>
          </cell>
        </row>
        <row r="58">
          <cell r="A58">
            <v>0.66388888888888886</v>
          </cell>
          <cell r="B58">
            <v>37.50275544440953</v>
          </cell>
          <cell r="C58">
            <v>37.701629629629601</v>
          </cell>
          <cell r="D58">
            <v>37.101296296296304</v>
          </cell>
        </row>
        <row r="59">
          <cell r="A59">
            <v>0.66944444444444484</v>
          </cell>
          <cell r="B59">
            <v>37.505352852369278</v>
          </cell>
          <cell r="C59">
            <v>37.700740740740748</v>
          </cell>
          <cell r="D59">
            <v>37.14</v>
          </cell>
        </row>
        <row r="60">
          <cell r="A60">
            <v>0.67500000000000082</v>
          </cell>
          <cell r="B60">
            <v>37.50736621853261</v>
          </cell>
          <cell r="C60">
            <v>37.572407407407404</v>
          </cell>
          <cell r="D60">
            <v>37.157037037037036</v>
          </cell>
        </row>
        <row r="61">
          <cell r="A61">
            <v>0.68055555555555491</v>
          </cell>
          <cell r="B61">
            <v>37.508793089922179</v>
          </cell>
          <cell r="C61">
            <v>37.468888888888884</v>
          </cell>
          <cell r="D61">
            <v>37.15018518518518</v>
          </cell>
        </row>
        <row r="62">
          <cell r="A62">
            <v>0.68611111111111089</v>
          </cell>
          <cell r="B62">
            <v>37.509631728114421</v>
          </cell>
          <cell r="C62">
            <v>37.3653703703704</v>
          </cell>
          <cell r="D62">
            <v>37.144455000000001</v>
          </cell>
        </row>
        <row r="63">
          <cell r="A63">
            <v>0.69166666666666587</v>
          </cell>
          <cell r="B63">
            <v>37.509881111357529</v>
          </cell>
          <cell r="C63">
            <v>37.426111111111112</v>
          </cell>
          <cell r="D63">
            <v>37.141122000000003</v>
          </cell>
        </row>
        <row r="64">
          <cell r="A64">
            <v>0.69722222222222185</v>
          </cell>
          <cell r="B64">
            <v>37.509540935816347</v>
          </cell>
          <cell r="C64">
            <v>37.405555555555544</v>
          </cell>
          <cell r="D64">
            <v>37.137788999999998</v>
          </cell>
        </row>
        <row r="65">
          <cell r="A65">
            <v>0.70277777777777883</v>
          </cell>
          <cell r="B65">
            <v>37.508611615942499</v>
          </cell>
          <cell r="C65">
            <v>37.373148148148147</v>
          </cell>
          <cell r="D65">
            <v>37.134456</v>
          </cell>
        </row>
        <row r="66">
          <cell r="A66">
            <v>0.70833333333333381</v>
          </cell>
          <cell r="B66">
            <v>37.507094283969487</v>
          </cell>
          <cell r="C66">
            <v>37.373888888888899</v>
          </cell>
          <cell r="D66">
            <v>37.131123000000002</v>
          </cell>
        </row>
        <row r="67">
          <cell r="A67">
            <v>0.71388888888888891</v>
          </cell>
          <cell r="B67">
            <v>37.504990788533199</v>
          </cell>
          <cell r="C67">
            <v>37.481111111111112</v>
          </cell>
          <cell r="D67">
            <v>37.051277900000002</v>
          </cell>
        </row>
        <row r="68">
          <cell r="A68">
            <v>0.71944444444444389</v>
          </cell>
          <cell r="B68">
            <v>37.502303692419659</v>
          </cell>
          <cell r="C68">
            <v>37.588333333333303</v>
          </cell>
          <cell r="D68">
            <v>37.012445700000001</v>
          </cell>
        </row>
        <row r="69">
          <cell r="A69">
            <v>0.72499999999999987</v>
          </cell>
          <cell r="B69">
            <v>37.499036269442648</v>
          </cell>
          <cell r="C69">
            <v>37.592037037037045</v>
          </cell>
          <cell r="D69">
            <v>37.012112399999999</v>
          </cell>
        </row>
        <row r="70">
          <cell r="A70">
            <v>0.73055555555555585</v>
          </cell>
          <cell r="B70">
            <v>37.495192500455083</v>
          </cell>
          <cell r="C70">
            <v>37.626666666666665</v>
          </cell>
          <cell r="D70">
            <v>36.990122220000003</v>
          </cell>
        </row>
        <row r="71">
          <cell r="A71">
            <v>0.73611111111111183</v>
          </cell>
          <cell r="B71">
            <v>37.49077706849895</v>
          </cell>
          <cell r="C71">
            <v>37.620555555555562</v>
          </cell>
          <cell r="D71">
            <v>36.92886</v>
          </cell>
        </row>
        <row r="72">
          <cell r="A72">
            <v>0.74166666666666681</v>
          </cell>
          <cell r="B72">
            <v>37.485795353099711</v>
          </cell>
          <cell r="C72">
            <v>37.614444444444501</v>
          </cell>
          <cell r="D72">
            <v>37.011584266666603</v>
          </cell>
        </row>
        <row r="73">
          <cell r="A73">
            <v>0.7472222222222219</v>
          </cell>
          <cell r="B73">
            <v>37.480253423712234</v>
          </cell>
          <cell r="C73">
            <v>37.654259259259263</v>
          </cell>
          <cell r="D73">
            <v>37.061137251666601</v>
          </cell>
        </row>
        <row r="74">
          <cell r="A74">
            <v>0.75277777777777788</v>
          </cell>
          <cell r="B74">
            <v>37.474158032326052</v>
          </cell>
          <cell r="C74">
            <v>37.65537037037037</v>
          </cell>
          <cell r="D74">
            <v>37.107666666699998</v>
          </cell>
        </row>
        <row r="75">
          <cell r="A75">
            <v>0.75833333333333286</v>
          </cell>
          <cell r="B75">
            <v>37.467516605239098</v>
          </cell>
          <cell r="C75">
            <v>37.601851851851862</v>
          </cell>
          <cell r="D75">
            <v>37.109490166666703</v>
          </cell>
        </row>
        <row r="76">
          <cell r="A76">
            <v>0.76388888888888984</v>
          </cell>
          <cell r="B76">
            <v>37.460337234009948</v>
          </cell>
          <cell r="C76">
            <v>37.513703703703705</v>
          </cell>
          <cell r="D76">
            <v>37.107372666666699</v>
          </cell>
        </row>
        <row r="77">
          <cell r="A77">
            <v>0.76944444444444482</v>
          </cell>
          <cell r="B77">
            <v>37.452628665599441</v>
          </cell>
          <cell r="C77">
            <v>37.425555555555498</v>
          </cell>
          <cell r="D77">
            <v>37.100445000000001</v>
          </cell>
        </row>
        <row r="78">
          <cell r="A78">
            <v>0.77499999999999991</v>
          </cell>
          <cell r="B78">
            <v>37.448578842481595</v>
          </cell>
          <cell r="C78">
            <v>37.487037037037034</v>
          </cell>
          <cell r="D78">
            <v>37.100877799999999</v>
          </cell>
        </row>
        <row r="79">
          <cell r="A79">
            <v>0.78055555555555489</v>
          </cell>
          <cell r="B79">
            <v>37.44440029171389</v>
          </cell>
          <cell r="C79">
            <v>37.539259259259303</v>
          </cell>
          <cell r="D79">
            <v>37.096403622222198</v>
          </cell>
        </row>
        <row r="80">
          <cell r="A80">
            <v>0.78611111111111087</v>
          </cell>
          <cell r="B80">
            <v>37.435662137362719</v>
          </cell>
          <cell r="C80">
            <v>37.468703703703703</v>
          </cell>
          <cell r="D80">
            <v>37.093156188888898</v>
          </cell>
        </row>
        <row r="81">
          <cell r="A81">
            <v>0.78888888888888886</v>
          </cell>
          <cell r="B81">
            <v>37.426424848644537</v>
          </cell>
          <cell r="C81">
            <v>37.398148148148145</v>
          </cell>
          <cell r="D81">
            <v>37.089090925925902</v>
          </cell>
        </row>
        <row r="82">
          <cell r="A82">
            <v>0.79166666666666685</v>
          </cell>
          <cell r="B82">
            <v>37.416699679776485</v>
          </cell>
          <cell r="C82">
            <v>37.388851851851854</v>
          </cell>
          <cell r="D82">
            <v>37.096403622222198</v>
          </cell>
        </row>
        <row r="83">
          <cell r="A83">
            <v>0.79722222222222283</v>
          </cell>
          <cell r="B83">
            <v>37.406498479382712</v>
          </cell>
          <cell r="C83">
            <v>37.379555555555598</v>
          </cell>
          <cell r="D83">
            <v>37.093156188888898</v>
          </cell>
        </row>
        <row r="84">
          <cell r="A84">
            <v>0.80277777777777881</v>
          </cell>
          <cell r="B84">
            <v>37.39583367605865</v>
          </cell>
          <cell r="C84">
            <v>37.411999999999992</v>
          </cell>
          <cell r="D84">
            <v>37.089090925925902</v>
          </cell>
        </row>
        <row r="85">
          <cell r="A85">
            <v>0.8083333333333329</v>
          </cell>
          <cell r="B85">
            <v>37.384718263228685</v>
          </cell>
          <cell r="C85">
            <v>37.454888888888895</v>
          </cell>
          <cell r="D85">
            <v>37.085230120370397</v>
          </cell>
        </row>
        <row r="86">
          <cell r="A86">
            <v>0.81388888888888888</v>
          </cell>
          <cell r="B86">
            <v>37.373165783315642</v>
          </cell>
          <cell r="C86">
            <v>37.506</v>
          </cell>
          <cell r="D86">
            <v>37.0813693148148</v>
          </cell>
        </row>
        <row r="87">
          <cell r="A87">
            <v>0.81944444444444386</v>
          </cell>
          <cell r="B87">
            <v>37.361190311241444</v>
          </cell>
          <cell r="C87">
            <v>37.539000000000001</v>
          </cell>
          <cell r="D87">
            <v>37.077508509259303</v>
          </cell>
        </row>
        <row r="88">
          <cell r="A88">
            <v>0.82500000000000084</v>
          </cell>
          <cell r="B88">
            <v>37.348806437278988</v>
          </cell>
          <cell r="C88">
            <v>37.572000000000003</v>
          </cell>
          <cell r="D88">
            <v>37.073647703703699</v>
          </cell>
        </row>
        <row r="89">
          <cell r="A89">
            <v>0.83055555555555582</v>
          </cell>
          <cell r="B89">
            <v>37.336029249276102</v>
          </cell>
          <cell r="C89">
            <v>37.528722222222221</v>
          </cell>
          <cell r="D89">
            <v>37.102222222222217</v>
          </cell>
        </row>
        <row r="90">
          <cell r="A90">
            <v>0.83611111111111092</v>
          </cell>
          <cell r="B90">
            <v>37.322874314273371</v>
          </cell>
          <cell r="C90">
            <v>37.449111111111108</v>
          </cell>
          <cell r="D90">
            <v>37.098518518518517</v>
          </cell>
        </row>
        <row r="91">
          <cell r="A91">
            <v>0.8416666666666659</v>
          </cell>
          <cell r="B91">
            <v>37.309357659538058</v>
          </cell>
          <cell r="C91">
            <v>37.402444444444448</v>
          </cell>
          <cell r="D91">
            <v>37.101388888888891</v>
          </cell>
        </row>
        <row r="92">
          <cell r="A92">
            <v>0.84722222222222188</v>
          </cell>
          <cell r="B92">
            <v>37.295495753037336</v>
          </cell>
          <cell r="C92">
            <v>37.361555555555555</v>
          </cell>
          <cell r="D92">
            <v>37.1203425925925</v>
          </cell>
        </row>
        <row r="93">
          <cell r="A93">
            <v>0.85277777777777786</v>
          </cell>
          <cell r="B93">
            <v>37.281305483374624</v>
          </cell>
          <cell r="C93">
            <v>37.309777777777782</v>
          </cell>
          <cell r="D93">
            <v>37.119999999999997</v>
          </cell>
        </row>
        <row r="94">
          <cell r="A94">
            <v>0.85833333333333384</v>
          </cell>
          <cell r="B94">
            <v>37.266804139213406</v>
          </cell>
          <cell r="C94">
            <v>37.258000000000003</v>
          </cell>
          <cell r="D94">
            <v>37.132024999999999</v>
          </cell>
        </row>
        <row r="95">
          <cell r="A95">
            <v>0.86388888888888982</v>
          </cell>
          <cell r="B95">
            <v>37.252009388213644</v>
          </cell>
          <cell r="C95">
            <v>37.2073888888889</v>
          </cell>
          <cell r="D95">
            <v>37.123129629629602</v>
          </cell>
        </row>
        <row r="96">
          <cell r="A96">
            <v>0.86944444444444391</v>
          </cell>
          <cell r="B96">
            <v>37.236939255506464</v>
          </cell>
          <cell r="C96">
            <v>37.110111111111109</v>
          </cell>
          <cell r="D96">
            <v>37.121000000000002</v>
          </cell>
        </row>
        <row r="97">
          <cell r="A97">
            <v>0.87499999999999989</v>
          </cell>
          <cell r="B97">
            <v>37.221612101733278</v>
          </cell>
          <cell r="C97">
            <v>37.181111111111107</v>
          </cell>
          <cell r="D97">
            <v>37.194814814814805</v>
          </cell>
        </row>
        <row r="98">
          <cell r="A98">
            <v>0.88055555555555487</v>
          </cell>
          <cell r="B98">
            <v>37.20604660067621</v>
          </cell>
          <cell r="C98">
            <v>37.246444444444442</v>
          </cell>
          <cell r="D98">
            <v>37.1437037037037</v>
          </cell>
        </row>
        <row r="99">
          <cell r="A99">
            <v>0.88611111111111085</v>
          </cell>
          <cell r="B99">
            <v>37.190261716506903</v>
          </cell>
          <cell r="C99">
            <v>37.311777777777799</v>
          </cell>
          <cell r="D99">
            <v>37.190925925925903</v>
          </cell>
        </row>
        <row r="100">
          <cell r="A100">
            <v>0.89166666666666683</v>
          </cell>
          <cell r="B100">
            <v>37.174276680681636</v>
          </cell>
          <cell r="C100">
            <v>37.293611111111119</v>
          </cell>
          <cell r="D100">
            <v>37.130472222222203</v>
          </cell>
        </row>
        <row r="101">
          <cell r="A101">
            <v>0.89722222222222281</v>
          </cell>
          <cell r="B101">
            <v>37.158110968510705</v>
          </cell>
          <cell r="C101">
            <v>37.28462962962962</v>
          </cell>
          <cell r="D101">
            <v>37.146583333333297</v>
          </cell>
        </row>
        <row r="102">
          <cell r="A102">
            <v>0.9027777777777779</v>
          </cell>
          <cell r="B102">
            <v>37.141784275430808</v>
          </cell>
          <cell r="C102">
            <v>37.314629629629636</v>
          </cell>
          <cell r="D102">
            <v>37.369444444445001</v>
          </cell>
        </row>
        <row r="103">
          <cell r="A103">
            <v>0.90833333333333288</v>
          </cell>
          <cell r="B103">
            <v>37.12531649300913</v>
          </cell>
          <cell r="C103">
            <v>37.304444444444442</v>
          </cell>
          <cell r="D103">
            <v>37.446087962962899</v>
          </cell>
        </row>
        <row r="104">
          <cell r="A104">
            <v>0.91388888888888886</v>
          </cell>
          <cell r="B104">
            <v>37.108727684708548</v>
          </cell>
          <cell r="C104">
            <v>37.294259259259199</v>
          </cell>
          <cell r="D104">
            <v>37.576462962962957</v>
          </cell>
        </row>
        <row r="105">
          <cell r="A105">
            <v>0.91944444444444484</v>
          </cell>
          <cell r="B105">
            <v>37.092038061443368</v>
          </cell>
          <cell r="C105">
            <v>37.237222222222229</v>
          </cell>
          <cell r="D105">
            <v>37.534277777777774</v>
          </cell>
        </row>
        <row r="106">
          <cell r="A106">
            <v>0.92500000000000082</v>
          </cell>
          <cell r="B106">
            <v>37.075267956955457</v>
          </cell>
          <cell r="C106">
            <v>37.247777777777777</v>
          </cell>
          <cell r="D106">
            <v>37.637759259259262</v>
          </cell>
        </row>
        <row r="107">
          <cell r="A107">
            <v>0.93055555555555491</v>
          </cell>
          <cell r="B107">
            <v>37.058437803040682</v>
          </cell>
          <cell r="C107">
            <v>37.221111111111114</v>
          </cell>
          <cell r="D107">
            <v>37.648388888888903</v>
          </cell>
        </row>
        <row r="108">
          <cell r="A108">
            <v>0.93611111111111089</v>
          </cell>
          <cell r="B108">
            <v>37.041568104655916</v>
          </cell>
          <cell r="C108">
            <v>37.188888888888897</v>
          </cell>
          <cell r="D108">
            <v>37.672592592592999</v>
          </cell>
        </row>
        <row r="109">
          <cell r="A109">
            <v>0.94166666666666687</v>
          </cell>
          <cell r="B109">
            <v>37.02467941493687</v>
          </cell>
          <cell r="C109">
            <v>37.156666666666702</v>
          </cell>
          <cell r="D109">
            <v>37.720129629629596</v>
          </cell>
        </row>
        <row r="110">
          <cell r="A110">
            <v>0.94722222222222185</v>
          </cell>
          <cell r="B110">
            <v>37.007792310157313</v>
          </cell>
          <cell r="C110">
            <v>37.144444444444439</v>
          </cell>
          <cell r="D110">
            <v>37.753851851851898</v>
          </cell>
        </row>
        <row r="111">
          <cell r="A111">
            <v>0.95277777777777883</v>
          </cell>
          <cell r="B111">
            <v>36.990927364659981</v>
          </cell>
          <cell r="C111">
            <v>37.130000000000003</v>
          </cell>
          <cell r="D111">
            <v>37.71</v>
          </cell>
        </row>
        <row r="112">
          <cell r="A112">
            <v>0.95833333333333381</v>
          </cell>
          <cell r="B112">
            <v>36.974105125789947</v>
          </cell>
          <cell r="C112">
            <v>37.033333333333331</v>
          </cell>
          <cell r="D112">
            <v>37.704666666666668</v>
          </cell>
        </row>
        <row r="113">
          <cell r="A113">
            <v>0.96388888888888891</v>
          </cell>
          <cell r="B113">
            <v>36.957346088860803</v>
          </cell>
          <cell r="C113">
            <v>36.892222222222216</v>
          </cell>
          <cell r="D113">
            <v>37.581055555555558</v>
          </cell>
        </row>
        <row r="114">
          <cell r="A114">
            <v>0.96944444444444389</v>
          </cell>
          <cell r="B114">
            <v>36.940670672184297</v>
          </cell>
          <cell r="C114">
            <v>36.751111111111101</v>
          </cell>
          <cell r="D114">
            <v>37.548611111111107</v>
          </cell>
        </row>
        <row r="115">
          <cell r="A115">
            <v>0.97499999999999987</v>
          </cell>
          <cell r="B115">
            <v>36.924099192193751</v>
          </cell>
          <cell r="C115">
            <v>36.797777777777782</v>
          </cell>
          <cell r="D115">
            <v>37.457555555555551</v>
          </cell>
        </row>
        <row r="116">
          <cell r="A116">
            <v>0.98055555555555585</v>
          </cell>
          <cell r="B116">
            <v>36.907651838691592</v>
          </cell>
          <cell r="C116">
            <v>36.777944444444444</v>
          </cell>
          <cell r="D116">
            <v>37.541666666666664</v>
          </cell>
        </row>
        <row r="117">
          <cell r="A117">
            <v>0.98611111111111183</v>
          </cell>
          <cell r="B117">
            <v>36.891348650251189</v>
          </cell>
          <cell r="C117">
            <v>36.731666666666655</v>
          </cell>
          <cell r="D117">
            <v>37.511209999999998</v>
          </cell>
        </row>
        <row r="118">
          <cell r="A118">
            <v>0.99166666666666781</v>
          </cell>
          <cell r="B118">
            <v>36.875209489802948</v>
          </cell>
          <cell r="C118">
            <v>36.693833333333338</v>
          </cell>
          <cell r="D118">
            <v>37.446203703703702</v>
          </cell>
        </row>
        <row r="119">
          <cell r="A119">
            <v>0.9972222222222219</v>
          </cell>
          <cell r="B119">
            <v>36.859254020434356</v>
          </cell>
          <cell r="C119">
            <v>36.655999999999999</v>
          </cell>
          <cell r="D119">
            <v>37.265462962962964</v>
          </cell>
        </row>
        <row r="120">
          <cell r="A120">
            <v>1.002777777777778</v>
          </cell>
          <cell r="B120">
            <v>36.843501681433537</v>
          </cell>
          <cell r="C120">
            <v>36.652777777777779</v>
          </cell>
          <cell r="D120">
            <v>37.119259259259259</v>
          </cell>
        </row>
        <row r="121">
          <cell r="A121">
            <v>1.0083333333333329</v>
          </cell>
          <cell r="B121">
            <v>36.827971664605478</v>
          </cell>
          <cell r="C121">
            <v>36.70103703703704</v>
          </cell>
          <cell r="D121">
            <v>37.022500000000001</v>
          </cell>
        </row>
        <row r="122">
          <cell r="A122">
            <v>1.0138888888888899</v>
          </cell>
          <cell r="B122">
            <v>36.812682890889747</v>
          </cell>
          <cell r="C122">
            <v>36.669814814814814</v>
          </cell>
          <cell r="D122">
            <v>36.9257407407407</v>
          </cell>
        </row>
        <row r="123">
          <cell r="A123">
            <v>1.0194444444444448</v>
          </cell>
          <cell r="B123">
            <v>36.797653987308244</v>
          </cell>
          <cell r="C123">
            <v>36.638592592592602</v>
          </cell>
          <cell r="D123">
            <v>36.880129629629636</v>
          </cell>
        </row>
        <row r="124">
          <cell r="A124">
            <v>1.0249999999999999</v>
          </cell>
          <cell r="B124">
            <v>36.782903264271049</v>
          </cell>
          <cell r="C124">
            <v>36.607370370370397</v>
          </cell>
          <cell r="D124">
            <v>36.728703703703701</v>
          </cell>
        </row>
        <row r="125">
          <cell r="A125">
            <v>1.030555555555555</v>
          </cell>
          <cell r="B125">
            <v>36.768448693267963</v>
          </cell>
          <cell r="C125">
            <v>36.544111111111107</v>
          </cell>
          <cell r="D125">
            <v>36.591666666666669</v>
          </cell>
        </row>
        <row r="126">
          <cell r="A126">
            <v>1.0361111111111099</v>
          </cell>
          <cell r="B126">
            <v>36.754307884973045</v>
          </cell>
          <cell r="C126">
            <v>36.490333333333332</v>
          </cell>
          <cell r="D126">
            <v>36.454629629629601</v>
          </cell>
        </row>
        <row r="127">
          <cell r="A127">
            <v>1.041666666666669</v>
          </cell>
          <cell r="B127">
            <v>36.740498067788714</v>
          </cell>
          <cell r="C127">
            <v>36.512277777777769</v>
          </cell>
          <cell r="D127">
            <v>36.463981481481483</v>
          </cell>
        </row>
        <row r="128">
          <cell r="A128">
            <v>1.0472222222222189</v>
          </cell>
          <cell r="B128">
            <v>36.727036066855533</v>
          </cell>
          <cell r="C128">
            <v>36.502592592592592</v>
          </cell>
          <cell r="D128">
            <v>36.431388888888897</v>
          </cell>
        </row>
        <row r="129">
          <cell r="A129">
            <v>1.0527777777777789</v>
          </cell>
          <cell r="B129">
            <v>36.713938283553446</v>
          </cell>
          <cell r="C129">
            <v>36.492907407407401</v>
          </cell>
          <cell r="D129">
            <v>36.351388888888891</v>
          </cell>
        </row>
        <row r="130">
          <cell r="A130">
            <v>1.0583333333333289</v>
          </cell>
          <cell r="B130">
            <v>36.701220675519131</v>
          </cell>
          <cell r="C130">
            <v>36.474259259259256</v>
          </cell>
          <cell r="D130">
            <v>36.414722222222217</v>
          </cell>
        </row>
        <row r="131">
          <cell r="A131">
            <v>1.0638888888888889</v>
          </cell>
          <cell r="B131">
            <v>36.688898737204127</v>
          </cell>
          <cell r="C131">
            <v>36.488444444444447</v>
          </cell>
          <cell r="D131">
            <v>36.408444444444442</v>
          </cell>
        </row>
        <row r="132">
          <cell r="A132">
            <v>1.0694444444444389</v>
          </cell>
          <cell r="B132">
            <v>36.676987480997212</v>
          </cell>
          <cell r="C132">
            <v>36.447648148148147</v>
          </cell>
          <cell r="D132">
            <v>36.402166666666702</v>
          </cell>
        </row>
        <row r="133">
          <cell r="A133">
            <v>1.0749999999999991</v>
          </cell>
          <cell r="B133">
            <v>36.665501418934099</v>
          </cell>
          <cell r="C133">
            <v>36.534351851851845</v>
          </cell>
          <cell r="D133">
            <v>36.336722222222221</v>
          </cell>
        </row>
        <row r="134">
          <cell r="A134">
            <v>1.0805555555555491</v>
          </cell>
          <cell r="B134">
            <v>36.654454545016762</v>
          </cell>
          <cell r="C134">
            <v>36.447574074074097</v>
          </cell>
          <cell r="D134">
            <v>36.307833333333335</v>
          </cell>
        </row>
        <row r="135">
          <cell r="A135">
            <v>1.086111111111109</v>
          </cell>
          <cell r="B135">
            <v>36.64386031816391</v>
          </cell>
          <cell r="C135">
            <v>36.452037037037037</v>
          </cell>
          <cell r="D135">
            <v>36.283481481481481</v>
          </cell>
        </row>
        <row r="136">
          <cell r="A136">
            <v>1.091666666666659</v>
          </cell>
          <cell r="B136">
            <v>36.633731645813327</v>
          </cell>
          <cell r="C136">
            <v>36.456499999999998</v>
          </cell>
          <cell r="D136">
            <v>36.273999999999994</v>
          </cell>
        </row>
        <row r="137">
          <cell r="A137">
            <v>1.097222222222219</v>
          </cell>
          <cell r="B137">
            <v>36.624080868196174</v>
          </cell>
          <cell r="C137">
            <v>36.460277777777776</v>
          </cell>
          <cell r="D137">
            <v>36.2645185185185</v>
          </cell>
        </row>
        <row r="138">
          <cell r="A138">
            <v>1.102777777777769</v>
          </cell>
          <cell r="B138">
            <v>36.614919743302274</v>
          </cell>
          <cell r="C138">
            <v>36.451296296296292</v>
          </cell>
          <cell r="D138">
            <v>36.212870370370375</v>
          </cell>
        </row>
        <row r="139">
          <cell r="A139">
            <v>1.108333333333329</v>
          </cell>
          <cell r="B139">
            <v>36.606259432554872</v>
          </cell>
          <cell r="C139">
            <v>36.4423148148148</v>
          </cell>
          <cell r="D139">
            <v>36.228851851851843</v>
          </cell>
        </row>
        <row r="140">
          <cell r="A140">
            <v>1.1138888888888789</v>
          </cell>
          <cell r="B140">
            <v>36.598110487212097</v>
          </cell>
          <cell r="C140">
            <v>36.465814814814813</v>
          </cell>
          <cell r="D140">
            <v>36.235351851851846</v>
          </cell>
        </row>
        <row r="141">
          <cell r="A141">
            <v>1.1194444444444389</v>
          </cell>
          <cell r="B141">
            <v>36.590482835511885</v>
          </cell>
          <cell r="C141">
            <v>36.499499999999991</v>
          </cell>
          <cell r="D141">
            <v>36.204925925925899</v>
          </cell>
        </row>
        <row r="142">
          <cell r="A142">
            <v>1.1249999999999889</v>
          </cell>
          <cell r="B142">
            <v>36.58338577057598</v>
          </cell>
          <cell r="C142">
            <v>36.513814814814815</v>
          </cell>
          <cell r="D142">
            <v>36.192462962962964</v>
          </cell>
        </row>
        <row r="143">
          <cell r="A143">
            <v>1.1305555555555489</v>
          </cell>
          <cell r="B143">
            <v>36.57682793908765</v>
          </cell>
          <cell r="C143">
            <v>36.527481481481487</v>
          </cell>
          <cell r="D143">
            <v>36.18</v>
          </cell>
        </row>
        <row r="144">
          <cell r="A144">
            <v>1.1361111111110991</v>
          </cell>
          <cell r="B144">
            <v>36.570817330757066</v>
          </cell>
          <cell r="C144">
            <v>36.541148148148203</v>
          </cell>
          <cell r="D144">
            <v>36.202222222222225</v>
          </cell>
        </row>
        <row r="145">
          <cell r="A145">
            <v>1.1416666666666591</v>
          </cell>
          <cell r="B145">
            <v>36.56536126858704</v>
          </cell>
          <cell r="C145">
            <v>36.576666666666668</v>
          </cell>
          <cell r="D145">
            <v>36.233333333333327</v>
          </cell>
        </row>
        <row r="146">
          <cell r="A146">
            <v>1.147222222222209</v>
          </cell>
          <cell r="B146">
            <v>36.560466399951103</v>
          </cell>
          <cell r="C146">
            <v>36.608333333333334</v>
          </cell>
          <cell r="D146">
            <v>36.258148148148145</v>
          </cell>
        </row>
        <row r="147">
          <cell r="A147">
            <v>1.152777777777769</v>
          </cell>
          <cell r="B147">
            <v>36.556138688494663</v>
          </cell>
          <cell r="C147">
            <v>36.588240740740744</v>
          </cell>
          <cell r="D147">
            <v>36.282962962962998</v>
          </cell>
        </row>
        <row r="148">
          <cell r="A148">
            <v>1.158333333333319</v>
          </cell>
          <cell r="B148">
            <v>36.552383406869247</v>
          </cell>
          <cell r="C148">
            <v>36.569185185185184</v>
          </cell>
          <cell r="D148">
            <v>36.206666666666671</v>
          </cell>
        </row>
        <row r="149">
          <cell r="A149">
            <v>1.163888888888869</v>
          </cell>
          <cell r="B149">
            <v>36.549205130308586</v>
          </cell>
          <cell r="C149">
            <v>36.550129629629602</v>
          </cell>
          <cell r="D149">
            <v>36.225555555555559</v>
          </cell>
        </row>
        <row r="150">
          <cell r="A150">
            <v>1.169444444444429</v>
          </cell>
          <cell r="B150">
            <v>36.546607731054365</v>
          </cell>
          <cell r="C150">
            <v>36.549740740740745</v>
          </cell>
          <cell r="D150">
            <v>36.223333333333329</v>
          </cell>
        </row>
        <row r="151">
          <cell r="A151">
            <v>1.1749999999999889</v>
          </cell>
          <cell r="B151">
            <v>36.544594373638546</v>
          </cell>
          <cell r="C151">
            <v>36.540481481481478</v>
          </cell>
          <cell r="D151">
            <v>36.222962962962953</v>
          </cell>
        </row>
        <row r="152">
          <cell r="A152">
            <v>1.1805555555555389</v>
          </cell>
          <cell r="B152">
            <v>36.543167511027804</v>
          </cell>
          <cell r="C152">
            <v>36.554166666666667</v>
          </cell>
          <cell r="D152">
            <v>36.220740740740801</v>
          </cell>
        </row>
        <row r="153">
          <cell r="A153">
            <v>1.1861111111110989</v>
          </cell>
          <cell r="B153">
            <v>36.542328881635022</v>
          </cell>
          <cell r="C153">
            <v>36.555</v>
          </cell>
          <cell r="D153">
            <v>36.18518518518519</v>
          </cell>
        </row>
        <row r="154">
          <cell r="A154">
            <v>1.1916666666666489</v>
          </cell>
          <cell r="B154">
            <v>36.542079507201272</v>
          </cell>
          <cell r="C154">
            <v>36.555833333333297</v>
          </cell>
          <cell r="D154">
            <v>36.149629629629629</v>
          </cell>
        </row>
        <row r="155">
          <cell r="A155">
            <v>1.1972222222222089</v>
          </cell>
          <cell r="B155">
            <v>36.542419691550997</v>
          </cell>
          <cell r="C155">
            <v>36.56894444444444</v>
          </cell>
          <cell r="D155">
            <v>36.146666666666675</v>
          </cell>
        </row>
        <row r="156">
          <cell r="A156">
            <v>1.2027777777777591</v>
          </cell>
          <cell r="B156">
            <v>36.543349020221818</v>
          </cell>
          <cell r="C156">
            <v>36.539722222222231</v>
          </cell>
          <cell r="D156">
            <v>36.162962962962951</v>
          </cell>
        </row>
        <row r="157">
          <cell r="A157">
            <v>1.2083333333333091</v>
          </cell>
          <cell r="B157">
            <v>36.544866360969536</v>
          </cell>
          <cell r="C157">
            <v>36.530555555555551</v>
          </cell>
          <cell r="D157">
            <v>36.141851851851797</v>
          </cell>
        </row>
        <row r="158">
          <cell r="A158">
            <v>1.213888888888869</v>
          </cell>
          <cell r="B158">
            <v>36.54696986514756</v>
          </cell>
          <cell r="C158">
            <v>36.546277777777782</v>
          </cell>
          <cell r="D158">
            <v>36.124814814814812</v>
          </cell>
        </row>
        <row r="159">
          <cell r="A159">
            <v>1.219444444444419</v>
          </cell>
          <cell r="B159">
            <v>36.549656969959216</v>
          </cell>
          <cell r="C159">
            <v>36.561999999999998</v>
          </cell>
          <cell r="D159">
            <v>36.107777777777784</v>
          </cell>
        </row>
        <row r="160">
          <cell r="A160">
            <v>1.224999999999979</v>
          </cell>
          <cell r="B160">
            <v>36.552924401580128</v>
          </cell>
          <cell r="C160">
            <v>36.612777777777779</v>
          </cell>
          <cell r="D160">
            <v>36.053888888888892</v>
          </cell>
        </row>
        <row r="161">
          <cell r="A161">
            <v>1.230555555555529</v>
          </cell>
          <cell r="B161">
            <v>36.556768179146843</v>
          </cell>
          <cell r="C161">
            <v>36.612185185185183</v>
          </cell>
          <cell r="D161">
            <v>36.174074074074078</v>
          </cell>
        </row>
        <row r="162">
          <cell r="A162">
            <v>1.236111111111089</v>
          </cell>
          <cell r="B162">
            <v>36.561183619606943</v>
          </cell>
          <cell r="C162">
            <v>36.687222222222218</v>
          </cell>
          <cell r="D162">
            <v>36.204259259259302</v>
          </cell>
        </row>
        <row r="163">
          <cell r="A163">
            <v>1.2416666666666389</v>
          </cell>
          <cell r="B163">
            <v>36.566165343424579</v>
          </cell>
          <cell r="C163">
            <v>36.699611111111103</v>
          </cell>
          <cell r="D163">
            <v>36.211851851851847</v>
          </cell>
        </row>
        <row r="164">
          <cell r="A164">
            <v>1.2472222222221989</v>
          </cell>
          <cell r="B164">
            <v>36.571707281134636</v>
          </cell>
          <cell r="C164">
            <v>36.712000000000003</v>
          </cell>
          <cell r="D164">
            <v>36.202592592592595</v>
          </cell>
        </row>
        <row r="165">
          <cell r="A165">
            <v>1.2527777777777589</v>
          </cell>
          <cell r="B165">
            <v>36.577802680737449</v>
          </cell>
          <cell r="C165">
            <v>36.737740740740747</v>
          </cell>
          <cell r="D165">
            <v>36.258148148148138</v>
          </cell>
        </row>
        <row r="166">
          <cell r="A166">
            <v>1.2583333333333089</v>
          </cell>
          <cell r="B166">
            <v>36.584444115925059</v>
          </cell>
          <cell r="C166">
            <v>36.722833333333334</v>
          </cell>
          <cell r="D166">
            <v>36.305185185185188</v>
          </cell>
        </row>
        <row r="167">
          <cell r="A167">
            <v>1.2638888888888589</v>
          </cell>
          <cell r="B167">
            <v>36.591623495129042</v>
          </cell>
          <cell r="C167">
            <v>36.745444444444445</v>
          </cell>
          <cell r="D167">
            <v>36.379629629629626</v>
          </cell>
        </row>
        <row r="168">
          <cell r="A168">
            <v>1.2694444444444191</v>
          </cell>
          <cell r="B168">
            <v>36.599332071378825</v>
          </cell>
          <cell r="C168">
            <v>36.614999999999995</v>
          </cell>
          <cell r="D168">
            <v>36.394074074074098</v>
          </cell>
        </row>
        <row r="169">
          <cell r="A169">
            <v>1.274999999999969</v>
          </cell>
          <cell r="B169">
            <v>36.607560452958545</v>
          </cell>
          <cell r="C169">
            <v>36.484555555555502</v>
          </cell>
          <cell r="D169">
            <v>36.413333333333327</v>
          </cell>
        </row>
        <row r="170">
          <cell r="A170">
            <v>1.280555555555529</v>
          </cell>
          <cell r="B170">
            <v>36.616298614849406</v>
          </cell>
          <cell r="C170">
            <v>36.653148148148148</v>
          </cell>
          <cell r="D170">
            <v>36.39314814814815</v>
          </cell>
        </row>
        <row r="171">
          <cell r="A171">
            <v>1.286111111111079</v>
          </cell>
          <cell r="B171">
            <v>36.625535910943626</v>
          </cell>
          <cell r="C171">
            <v>36.678333333333335</v>
          </cell>
          <cell r="D171">
            <v>36.405000000000001</v>
          </cell>
        </row>
        <row r="172">
          <cell r="A172">
            <v>1.291666666666639</v>
          </cell>
          <cell r="B172">
            <v>36.63526108701506</v>
          </cell>
          <cell r="C172">
            <v>36.712407407407412</v>
          </cell>
          <cell r="D172">
            <v>36.42</v>
          </cell>
        </row>
        <row r="173">
          <cell r="A173">
            <v>1.297222222222189</v>
          </cell>
          <cell r="B173">
            <v>36.645462294430793</v>
          </cell>
          <cell r="C173">
            <v>36.773611111111109</v>
          </cell>
          <cell r="D173">
            <v>36.445555555555558</v>
          </cell>
        </row>
        <row r="174">
          <cell r="A174">
            <v>1.3027777777777489</v>
          </cell>
          <cell r="B174">
            <v>36.656127104586822</v>
          </cell>
          <cell r="C174">
            <v>36.743360000000003</v>
          </cell>
          <cell r="D174">
            <v>36.461851851851854</v>
          </cell>
        </row>
        <row r="175">
          <cell r="A175">
            <v>1.3083333333333089</v>
          </cell>
          <cell r="B175">
            <v>36.667242524050465</v>
          </cell>
          <cell r="C175">
            <v>36.693333333333335</v>
          </cell>
          <cell r="D175">
            <v>36.505000000000003</v>
          </cell>
        </row>
        <row r="176">
          <cell r="A176">
            <v>1.3138888888888589</v>
          </cell>
          <cell r="B176">
            <v>36.678795010390793</v>
          </cell>
          <cell r="C176">
            <v>36.815740740740729</v>
          </cell>
          <cell r="D176">
            <v>36.548148148148201</v>
          </cell>
        </row>
        <row r="177">
          <cell r="A177">
            <v>1.3194444444444189</v>
          </cell>
          <cell r="B177">
            <v>36.690770488678055</v>
          </cell>
          <cell r="C177">
            <v>36.790370370370368</v>
          </cell>
          <cell r="D177">
            <v>36.591296296296299</v>
          </cell>
        </row>
        <row r="178">
          <cell r="A178">
            <v>1.3249999999999689</v>
          </cell>
          <cell r="B178">
            <v>36.7031543686318</v>
          </cell>
          <cell r="C178">
            <v>36.845740740740744</v>
          </cell>
          <cell r="D178">
            <v>36.64</v>
          </cell>
        </row>
        <row r="179">
          <cell r="A179">
            <v>1.3305555555555191</v>
          </cell>
          <cell r="B179">
            <v>36.715931562396875</v>
          </cell>
          <cell r="C179">
            <v>36.901111111111099</v>
          </cell>
          <cell r="D179">
            <v>36.661111111111104</v>
          </cell>
        </row>
        <row r="180">
          <cell r="A180">
            <v>1.3361111111110791</v>
          </cell>
          <cell r="B180">
            <v>36.729086502925696</v>
          </cell>
          <cell r="C180">
            <v>36.8787037037037</v>
          </cell>
          <cell r="D180">
            <v>36.716111111111118</v>
          </cell>
        </row>
        <row r="181">
          <cell r="A181">
            <v>1.341666666666629</v>
          </cell>
          <cell r="B181">
            <v>36.742603162944263</v>
          </cell>
          <cell r="C181">
            <v>36.958611111111118</v>
          </cell>
          <cell r="D181">
            <v>36.719444444444456</v>
          </cell>
        </row>
        <row r="182">
          <cell r="A182">
            <v>1.347222222222189</v>
          </cell>
          <cell r="B182">
            <v>36.75646507447896</v>
          </cell>
          <cell r="C182">
            <v>37.050740740740743</v>
          </cell>
          <cell r="D182">
            <v>36.69</v>
          </cell>
        </row>
        <row r="183">
          <cell r="A183">
            <v>1.352777777777739</v>
          </cell>
          <cell r="B183">
            <v>36.770655348920229</v>
          </cell>
          <cell r="C183">
            <v>37.142870370370403</v>
          </cell>
          <cell r="D183">
            <v>36.664999999999992</v>
          </cell>
        </row>
        <row r="184">
          <cell r="A184">
            <v>1.358333333333299</v>
          </cell>
          <cell r="B184">
            <v>36.785156697598786</v>
          </cell>
          <cell r="C184">
            <v>37.017777777777773</v>
          </cell>
          <cell r="D184">
            <v>36.638888888888886</v>
          </cell>
        </row>
        <row r="185">
          <cell r="A185">
            <v>1.363888888888859</v>
          </cell>
          <cell r="D185">
            <v>36.804444444444442</v>
          </cell>
        </row>
        <row r="186">
          <cell r="A186">
            <v>1.3694444444444089</v>
          </cell>
          <cell r="D186">
            <v>36.840000000000003</v>
          </cell>
        </row>
        <row r="187">
          <cell r="A187">
            <v>1.3749999999999689</v>
          </cell>
          <cell r="D187">
            <v>36.878888888888888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BD75-A896-45A1-A58D-9F73512DB039}">
  <dimension ref="C4:AR32"/>
  <sheetViews>
    <sheetView workbookViewId="0">
      <selection activeCell="F39" sqref="F39"/>
    </sheetView>
  </sheetViews>
  <sheetFormatPr baseColWidth="10" defaultRowHeight="14.4" x14ac:dyDescent="0.3"/>
  <cols>
    <col min="1" max="5" width="11.5546875" style="1"/>
    <col min="6" max="6" width="17.44140625" style="1" customWidth="1"/>
    <col min="7" max="7" width="17.33203125" style="1" bestFit="1" customWidth="1"/>
    <col min="8" max="8" width="20.33203125" style="1" customWidth="1"/>
    <col min="9" max="9" width="17.21875" style="1" bestFit="1" customWidth="1"/>
    <col min="10" max="10" width="19.5546875" style="1" bestFit="1" customWidth="1"/>
    <col min="11" max="19" width="11.5546875" style="1"/>
    <col min="20" max="20" width="13.33203125" style="1" bestFit="1" customWidth="1"/>
    <col min="21" max="21" width="11.5546875" style="1"/>
    <col min="22" max="22" width="11.88671875" style="1" bestFit="1" customWidth="1"/>
    <col min="23" max="23" width="11.5546875" style="1"/>
    <col min="24" max="24" width="13.33203125" style="1" bestFit="1" customWidth="1"/>
    <col min="25" max="25" width="11.5546875" style="1"/>
    <col min="26" max="26" width="11.88671875" style="1" bestFit="1" customWidth="1"/>
    <col min="27" max="30" width="11.5546875" style="1"/>
    <col min="31" max="31" width="14" style="1" customWidth="1"/>
    <col min="32" max="32" width="14.5546875" style="1" customWidth="1"/>
    <col min="33" max="33" width="15.109375" style="1" customWidth="1"/>
    <col min="34" max="34" width="17.5546875" style="1" customWidth="1"/>
    <col min="35" max="35" width="14.21875" style="1" customWidth="1"/>
    <col min="36" max="36" width="13.88671875" style="1" customWidth="1"/>
    <col min="37" max="44" width="11.5546875" style="1"/>
    <col min="45" max="46" width="11.5546875" style="1" customWidth="1"/>
    <col min="47" max="16384" width="11.5546875" style="1"/>
  </cols>
  <sheetData>
    <row r="4" spans="3:44" x14ac:dyDescent="0.3">
      <c r="G4" s="64" t="s">
        <v>30</v>
      </c>
      <c r="H4" s="64"/>
      <c r="I4" s="64"/>
      <c r="J4" s="64"/>
      <c r="K4" s="64" t="s">
        <v>77</v>
      </c>
      <c r="L4" s="64"/>
      <c r="M4" s="64"/>
      <c r="N4" s="64"/>
      <c r="O4" s="64" t="s">
        <v>76</v>
      </c>
      <c r="P4" s="64"/>
      <c r="Q4" s="64"/>
      <c r="R4" s="64"/>
      <c r="S4" s="60" t="s">
        <v>71</v>
      </c>
      <c r="T4" s="61"/>
      <c r="U4" s="61"/>
      <c r="V4" s="62"/>
      <c r="W4" s="60" t="s">
        <v>74</v>
      </c>
      <c r="X4" s="61"/>
      <c r="Y4" s="61"/>
      <c r="Z4" s="62"/>
      <c r="AA4" s="64" t="s">
        <v>21</v>
      </c>
      <c r="AB4" s="64"/>
      <c r="AC4" s="64" t="s">
        <v>6</v>
      </c>
      <c r="AD4" s="64"/>
      <c r="AE4" s="64" t="s">
        <v>7</v>
      </c>
      <c r="AF4" s="64"/>
      <c r="AG4" s="64" t="s">
        <v>8</v>
      </c>
      <c r="AH4" s="64"/>
      <c r="AI4" s="64" t="s">
        <v>9</v>
      </c>
      <c r="AJ4" s="64"/>
      <c r="AK4" s="64" t="s">
        <v>10</v>
      </c>
      <c r="AL4" s="64"/>
      <c r="AM4" s="64" t="s">
        <v>11</v>
      </c>
      <c r="AN4" s="64"/>
      <c r="AO4" s="64" t="s">
        <v>12</v>
      </c>
      <c r="AP4" s="64"/>
      <c r="AQ4" s="64" t="s">
        <v>13</v>
      </c>
      <c r="AR4" s="64"/>
    </row>
    <row r="5" spans="3:44" x14ac:dyDescent="0.3">
      <c r="D5" s="2" t="s">
        <v>19</v>
      </c>
      <c r="E5" s="2" t="s">
        <v>24</v>
      </c>
      <c r="F5" s="2" t="s">
        <v>247</v>
      </c>
      <c r="G5" s="23" t="s">
        <v>31</v>
      </c>
      <c r="H5" s="23" t="s">
        <v>32</v>
      </c>
      <c r="I5" s="23" t="s">
        <v>33</v>
      </c>
      <c r="J5" s="23" t="s">
        <v>34</v>
      </c>
      <c r="K5" s="2" t="s">
        <v>2</v>
      </c>
      <c r="L5" s="2" t="s">
        <v>3</v>
      </c>
      <c r="M5" s="2" t="s">
        <v>0</v>
      </c>
      <c r="N5" s="2" t="s">
        <v>1</v>
      </c>
      <c r="O5" s="2" t="s">
        <v>2</v>
      </c>
      <c r="P5" s="2" t="s">
        <v>3</v>
      </c>
      <c r="Q5" s="2" t="s">
        <v>0</v>
      </c>
      <c r="R5" s="2" t="s">
        <v>1</v>
      </c>
      <c r="S5" s="2" t="s">
        <v>70</v>
      </c>
      <c r="T5" s="23" t="s">
        <v>73</v>
      </c>
      <c r="U5" s="2" t="s">
        <v>75</v>
      </c>
      <c r="V5" s="23" t="s">
        <v>72</v>
      </c>
      <c r="W5" s="2" t="s">
        <v>4</v>
      </c>
      <c r="X5" s="52" t="s">
        <v>73</v>
      </c>
      <c r="Y5" s="2" t="s">
        <v>5</v>
      </c>
      <c r="Z5" s="52" t="s">
        <v>72</v>
      </c>
      <c r="AA5" s="8" t="s">
        <v>4</v>
      </c>
      <c r="AB5" s="8" t="s">
        <v>5</v>
      </c>
      <c r="AC5" s="8" t="s">
        <v>4</v>
      </c>
      <c r="AD5" s="8" t="s">
        <v>5</v>
      </c>
      <c r="AE5" s="8" t="s">
        <v>4</v>
      </c>
      <c r="AF5" s="8" t="s">
        <v>5</v>
      </c>
      <c r="AG5" s="8" t="s">
        <v>4</v>
      </c>
      <c r="AH5" s="8" t="s">
        <v>5</v>
      </c>
      <c r="AI5" s="8" t="s">
        <v>4</v>
      </c>
      <c r="AJ5" s="8" t="s">
        <v>5</v>
      </c>
      <c r="AK5" s="8" t="s">
        <v>4</v>
      </c>
      <c r="AL5" s="8" t="s">
        <v>5</v>
      </c>
      <c r="AM5" s="8" t="s">
        <v>4</v>
      </c>
      <c r="AN5" s="8" t="s">
        <v>5</v>
      </c>
      <c r="AO5" s="8" t="s">
        <v>4</v>
      </c>
      <c r="AP5" s="8" t="s">
        <v>5</v>
      </c>
      <c r="AQ5" s="8" t="s">
        <v>4</v>
      </c>
      <c r="AR5" s="8" t="s">
        <v>5</v>
      </c>
    </row>
    <row r="6" spans="3:44" x14ac:dyDescent="0.3">
      <c r="C6" s="2">
        <v>1</v>
      </c>
      <c r="D6" s="3">
        <v>24</v>
      </c>
      <c r="E6" s="3">
        <v>176</v>
      </c>
      <c r="F6" s="3">
        <v>12.6</v>
      </c>
      <c r="G6" s="3">
        <v>36.270000000000003</v>
      </c>
      <c r="H6" s="3">
        <v>37.232841002578297</v>
      </c>
      <c r="I6" s="3">
        <v>36.76</v>
      </c>
      <c r="J6" s="3">
        <v>36.8274698962231</v>
      </c>
      <c r="K6" s="4">
        <v>70.900000000000006</v>
      </c>
      <c r="L6" s="3">
        <v>69.3</v>
      </c>
      <c r="M6" s="3">
        <v>71.599999999999994</v>
      </c>
      <c r="N6" s="3">
        <v>70.3</v>
      </c>
      <c r="O6" s="3">
        <v>72.27</v>
      </c>
      <c r="P6" s="2">
        <v>71.63</v>
      </c>
      <c r="Q6" s="3">
        <v>71.78</v>
      </c>
      <c r="R6" s="3">
        <v>71.760000000000005</v>
      </c>
      <c r="S6" s="2">
        <v>188</v>
      </c>
      <c r="T6" s="23">
        <v>95.91836734693878</v>
      </c>
      <c r="U6" s="2">
        <v>176</v>
      </c>
      <c r="V6" s="23">
        <v>89.795918367346943</v>
      </c>
      <c r="W6" s="2">
        <v>156</v>
      </c>
      <c r="X6" s="52">
        <v>79.591836734693871</v>
      </c>
      <c r="Y6" s="2">
        <v>152</v>
      </c>
      <c r="Z6" s="52">
        <v>77.551020408163268</v>
      </c>
      <c r="AA6" s="8">
        <v>165</v>
      </c>
      <c r="AB6" s="8">
        <v>160</v>
      </c>
      <c r="AC6" s="8">
        <v>37.68</v>
      </c>
      <c r="AD6" s="8">
        <v>37.26</v>
      </c>
      <c r="AE6" s="8">
        <v>38.1</v>
      </c>
      <c r="AF6" s="8">
        <v>38.119999999999997</v>
      </c>
      <c r="AG6" s="8">
        <v>56</v>
      </c>
      <c r="AH6" s="8">
        <v>54</v>
      </c>
      <c r="AI6" s="8">
        <v>67</v>
      </c>
      <c r="AJ6" s="8">
        <v>71</v>
      </c>
      <c r="AK6" s="8">
        <v>47</v>
      </c>
      <c r="AL6" s="8">
        <v>41</v>
      </c>
      <c r="AM6" s="8">
        <v>65</v>
      </c>
      <c r="AN6" s="8">
        <v>61</v>
      </c>
      <c r="AO6" s="8">
        <v>87</v>
      </c>
      <c r="AP6" s="8">
        <v>78</v>
      </c>
      <c r="AQ6" s="8">
        <v>98</v>
      </c>
      <c r="AR6" s="8">
        <v>95</v>
      </c>
    </row>
    <row r="7" spans="3:44" x14ac:dyDescent="0.3">
      <c r="C7" s="2">
        <v>2</v>
      </c>
      <c r="D7" s="2">
        <v>43</v>
      </c>
      <c r="E7" s="2">
        <v>178</v>
      </c>
      <c r="F7" s="2">
        <v>17.899999999999999</v>
      </c>
      <c r="G7" s="25">
        <v>37.01</v>
      </c>
      <c r="H7" s="23">
        <v>36.359650162923302</v>
      </c>
      <c r="I7" s="25">
        <v>36.78</v>
      </c>
      <c r="J7" s="25">
        <v>37.368007259746399</v>
      </c>
      <c r="K7" s="5">
        <v>81</v>
      </c>
      <c r="L7" s="2">
        <v>79.099999999999994</v>
      </c>
      <c r="M7" s="2">
        <v>81.400000000000006</v>
      </c>
      <c r="N7" s="2">
        <v>80</v>
      </c>
      <c r="O7" s="2">
        <v>71.539999999999992</v>
      </c>
      <c r="P7" s="2">
        <v>70.86</v>
      </c>
      <c r="Q7" s="3">
        <v>71.25</v>
      </c>
      <c r="R7" s="3">
        <v>71.040000000000006</v>
      </c>
      <c r="S7" s="2">
        <v>175</v>
      </c>
      <c r="T7" s="23">
        <v>98.870056497175142</v>
      </c>
      <c r="U7" s="2">
        <v>161</v>
      </c>
      <c r="V7" s="23">
        <v>90.960451977401135</v>
      </c>
      <c r="W7" s="2">
        <v>144</v>
      </c>
      <c r="X7" s="52">
        <v>81.355932203389827</v>
      </c>
      <c r="Y7" s="2">
        <v>139</v>
      </c>
      <c r="Z7" s="52">
        <v>78.531073446327682</v>
      </c>
      <c r="AA7" s="8">
        <v>160</v>
      </c>
      <c r="AB7" s="8">
        <v>160</v>
      </c>
      <c r="AC7" s="8">
        <v>37.869999999999997</v>
      </c>
      <c r="AD7" s="8">
        <v>37.4</v>
      </c>
      <c r="AE7" s="8">
        <v>38.979999999999997</v>
      </c>
      <c r="AF7" s="8">
        <v>37.78</v>
      </c>
      <c r="AG7" s="8">
        <v>49</v>
      </c>
      <c r="AH7" s="8">
        <v>51</v>
      </c>
      <c r="AI7" s="8">
        <v>67</v>
      </c>
      <c r="AJ7" s="8">
        <v>73</v>
      </c>
      <c r="AK7" s="8">
        <v>52</v>
      </c>
      <c r="AL7" s="8">
        <v>44</v>
      </c>
      <c r="AM7" s="8">
        <v>56</v>
      </c>
      <c r="AN7" s="8">
        <v>58</v>
      </c>
      <c r="AO7" s="8">
        <v>90</v>
      </c>
      <c r="AP7" s="8">
        <v>85</v>
      </c>
      <c r="AQ7" s="8">
        <v>100</v>
      </c>
      <c r="AR7" s="8">
        <v>100</v>
      </c>
    </row>
    <row r="8" spans="3:44" x14ac:dyDescent="0.3">
      <c r="C8" s="2">
        <v>3</v>
      </c>
      <c r="D8" s="2">
        <v>32</v>
      </c>
      <c r="E8" s="2">
        <v>192</v>
      </c>
      <c r="F8" s="2">
        <v>14.1</v>
      </c>
      <c r="G8" s="25">
        <v>36.869999999999997</v>
      </c>
      <c r="H8" s="23">
        <v>36.5616060949637</v>
      </c>
      <c r="I8" s="25">
        <v>37.31</v>
      </c>
      <c r="J8" s="25">
        <v>37.182627294878898</v>
      </c>
      <c r="K8" s="5">
        <v>90.1</v>
      </c>
      <c r="L8" s="2">
        <v>88.1</v>
      </c>
      <c r="M8" s="2">
        <v>88.6</v>
      </c>
      <c r="N8" s="2">
        <v>87.2</v>
      </c>
      <c r="O8" s="2">
        <v>70.81</v>
      </c>
      <c r="P8" s="2">
        <v>70.150000000000006</v>
      </c>
      <c r="Q8" s="3">
        <v>70.45</v>
      </c>
      <c r="R8" s="3">
        <v>70.34</v>
      </c>
      <c r="S8" s="2">
        <v>165</v>
      </c>
      <c r="T8" s="23">
        <v>87.765957446808514</v>
      </c>
      <c r="U8" s="2">
        <v>163</v>
      </c>
      <c r="V8" s="23">
        <v>86.702127659574472</v>
      </c>
      <c r="W8" s="2">
        <v>135</v>
      </c>
      <c r="X8" s="52">
        <v>71.808510638297875</v>
      </c>
      <c r="Y8" s="2">
        <v>134</v>
      </c>
      <c r="Z8" s="52">
        <v>71.276595744680847</v>
      </c>
      <c r="AA8" s="8">
        <v>160</v>
      </c>
      <c r="AB8" s="8">
        <v>170</v>
      </c>
      <c r="AC8" s="8">
        <v>37.78</v>
      </c>
      <c r="AD8" s="8">
        <v>37.56</v>
      </c>
      <c r="AE8" s="8">
        <v>38.06</v>
      </c>
      <c r="AF8" s="8">
        <v>38.01</v>
      </c>
      <c r="AG8" s="8">
        <v>44</v>
      </c>
      <c r="AH8" s="8">
        <v>41</v>
      </c>
      <c r="AI8" s="8">
        <v>56</v>
      </c>
      <c r="AJ8" s="8">
        <v>57</v>
      </c>
      <c r="AK8" s="8">
        <v>46</v>
      </c>
      <c r="AL8" s="8">
        <v>46</v>
      </c>
      <c r="AM8" s="8">
        <v>61</v>
      </c>
      <c r="AN8" s="8">
        <v>57</v>
      </c>
      <c r="AO8" s="8">
        <v>95</v>
      </c>
      <c r="AP8" s="8">
        <v>94</v>
      </c>
      <c r="AQ8" s="8">
        <v>100</v>
      </c>
      <c r="AR8" s="8">
        <v>100</v>
      </c>
    </row>
    <row r="9" spans="3:44" x14ac:dyDescent="0.3">
      <c r="C9" s="2">
        <v>4</v>
      </c>
      <c r="D9" s="2">
        <v>44</v>
      </c>
      <c r="E9" s="2">
        <v>173</v>
      </c>
      <c r="F9" s="2">
        <v>17.2</v>
      </c>
      <c r="G9" s="25">
        <v>36.78</v>
      </c>
      <c r="H9" s="23">
        <v>36.713327319841497</v>
      </c>
      <c r="I9" s="25">
        <v>37.020000000000003</v>
      </c>
      <c r="J9" s="25">
        <v>36.718306533881602</v>
      </c>
      <c r="K9" s="5">
        <v>79.2</v>
      </c>
      <c r="L9" s="2">
        <v>77.8</v>
      </c>
      <c r="M9" s="2">
        <v>79.8</v>
      </c>
      <c r="N9" s="2">
        <v>78.8</v>
      </c>
      <c r="O9" s="2">
        <v>70.08</v>
      </c>
      <c r="P9" s="2">
        <v>69.540000000000006</v>
      </c>
      <c r="Q9" s="3">
        <v>69.89</v>
      </c>
      <c r="R9" s="3">
        <v>69.7</v>
      </c>
      <c r="S9" s="2">
        <v>165</v>
      </c>
      <c r="T9" s="23">
        <v>93.75</v>
      </c>
      <c r="U9" s="2">
        <v>156</v>
      </c>
      <c r="V9" s="23">
        <v>88.63636363636364</v>
      </c>
      <c r="W9" s="2">
        <v>145</v>
      </c>
      <c r="X9" s="52">
        <v>82.38636363636364</v>
      </c>
      <c r="Y9" s="2">
        <v>141</v>
      </c>
      <c r="Z9" s="52">
        <v>80.11363636363636</v>
      </c>
      <c r="AA9" s="8">
        <v>160</v>
      </c>
      <c r="AB9" s="8">
        <v>160</v>
      </c>
      <c r="AC9" s="8">
        <v>38.35</v>
      </c>
      <c r="AD9" s="8">
        <v>38.04</v>
      </c>
      <c r="AE9" s="8">
        <v>39.200000000000003</v>
      </c>
      <c r="AF9" s="8">
        <v>39</v>
      </c>
      <c r="AG9" s="8">
        <v>46</v>
      </c>
      <c r="AH9" s="8">
        <v>47</v>
      </c>
      <c r="AI9" s="8">
        <v>61</v>
      </c>
      <c r="AJ9" s="8">
        <v>66</v>
      </c>
      <c r="AK9" s="8">
        <v>45</v>
      </c>
      <c r="AL9" s="8">
        <v>47</v>
      </c>
      <c r="AM9" s="8">
        <v>63</v>
      </c>
      <c r="AN9" s="8">
        <v>61</v>
      </c>
      <c r="AO9" s="8">
        <v>83</v>
      </c>
      <c r="AP9" s="8">
        <v>81</v>
      </c>
      <c r="AQ9" s="8">
        <v>100</v>
      </c>
      <c r="AR9" s="8">
        <v>94</v>
      </c>
    </row>
    <row r="10" spans="3:44" x14ac:dyDescent="0.3">
      <c r="C10" s="2">
        <v>5</v>
      </c>
      <c r="D10" s="2">
        <v>51</v>
      </c>
      <c r="E10" s="2">
        <v>186</v>
      </c>
      <c r="F10" s="2">
        <v>19.8</v>
      </c>
      <c r="G10" s="25">
        <v>36.65</v>
      </c>
      <c r="H10" s="23">
        <v>36.228867437573001</v>
      </c>
      <c r="I10" s="25">
        <v>37.25</v>
      </c>
      <c r="J10" s="25">
        <v>36.9590455086026</v>
      </c>
      <c r="K10" s="5">
        <v>90.6</v>
      </c>
      <c r="L10" s="2">
        <v>89.3</v>
      </c>
      <c r="M10" s="2">
        <v>90.9</v>
      </c>
      <c r="N10" s="2">
        <v>89.7</v>
      </c>
      <c r="O10" s="2">
        <v>69.349999999999994</v>
      </c>
      <c r="P10" s="2">
        <v>68.900000000000006</v>
      </c>
      <c r="Q10" s="3">
        <v>69.31</v>
      </c>
      <c r="R10" s="3">
        <v>68.94</v>
      </c>
      <c r="S10" s="2">
        <v>168</v>
      </c>
      <c r="T10" s="23">
        <v>99.408284023668642</v>
      </c>
      <c r="U10" s="2">
        <v>160</v>
      </c>
      <c r="V10" s="23">
        <v>94.674556213017752</v>
      </c>
      <c r="W10" s="2">
        <v>143</v>
      </c>
      <c r="X10" s="52">
        <v>84.615384615384613</v>
      </c>
      <c r="Y10" s="2">
        <v>129</v>
      </c>
      <c r="Z10" s="52">
        <v>76.331360946745562</v>
      </c>
      <c r="AA10" s="8">
        <v>175</v>
      </c>
      <c r="AB10" s="8">
        <v>170</v>
      </c>
      <c r="AC10" s="8">
        <v>37.119999999999997</v>
      </c>
      <c r="AD10" s="8">
        <v>37.119999999999997</v>
      </c>
      <c r="AE10" s="8">
        <v>37.68</v>
      </c>
      <c r="AF10" s="8">
        <v>37.32</v>
      </c>
      <c r="AG10" s="8">
        <v>51</v>
      </c>
      <c r="AH10" s="8">
        <v>52</v>
      </c>
      <c r="AI10" s="8">
        <v>67</v>
      </c>
      <c r="AJ10" s="8">
        <v>56</v>
      </c>
      <c r="AK10" s="8">
        <v>39</v>
      </c>
      <c r="AL10" s="8">
        <v>41</v>
      </c>
      <c r="AM10" s="8">
        <v>51</v>
      </c>
      <c r="AN10" s="8">
        <v>55</v>
      </c>
      <c r="AO10" s="8">
        <v>81</v>
      </c>
      <c r="AP10" s="8">
        <v>78</v>
      </c>
      <c r="AQ10" s="8">
        <v>100</v>
      </c>
      <c r="AR10" s="8">
        <v>96</v>
      </c>
    </row>
    <row r="11" spans="3:44" x14ac:dyDescent="0.3">
      <c r="C11" s="2">
        <v>6</v>
      </c>
      <c r="D11" s="2">
        <v>21</v>
      </c>
      <c r="E11" s="2">
        <v>189</v>
      </c>
      <c r="F11" s="2">
        <v>7.8</v>
      </c>
      <c r="G11" s="25">
        <v>36.21</v>
      </c>
      <c r="H11" s="23">
        <v>36.549153005801401</v>
      </c>
      <c r="I11" s="25">
        <v>37.11</v>
      </c>
      <c r="J11" s="25">
        <v>37.5377454924975</v>
      </c>
      <c r="K11" s="5">
        <v>81.400000000000006</v>
      </c>
      <c r="L11" s="2">
        <v>79.599999999999994</v>
      </c>
      <c r="M11" s="2">
        <v>81.8</v>
      </c>
      <c r="N11" s="2">
        <v>80.2</v>
      </c>
      <c r="O11" s="2">
        <v>68.61999999999999</v>
      </c>
      <c r="P11" s="2">
        <v>67.91</v>
      </c>
      <c r="Q11" s="3">
        <v>67.989999999999995</v>
      </c>
      <c r="R11" s="3">
        <v>67.989999999999995</v>
      </c>
      <c r="S11" s="2">
        <v>182</v>
      </c>
      <c r="T11" s="23">
        <v>91.457286432160799</v>
      </c>
      <c r="U11" s="2">
        <v>173</v>
      </c>
      <c r="V11" s="23">
        <v>86.934673366834176</v>
      </c>
      <c r="W11" s="2">
        <v>165</v>
      </c>
      <c r="X11" s="52">
        <v>82.914572864321613</v>
      </c>
      <c r="Y11" s="2">
        <v>156</v>
      </c>
      <c r="Z11" s="52">
        <v>78.391959798994975</v>
      </c>
      <c r="AA11" s="8">
        <v>165</v>
      </c>
      <c r="AB11" s="8">
        <v>150</v>
      </c>
      <c r="AC11" s="8">
        <v>36.68</v>
      </c>
      <c r="AD11" s="8">
        <v>36.56</v>
      </c>
      <c r="AE11" s="8">
        <v>38.06</v>
      </c>
      <c r="AF11" s="8">
        <v>37.119999999999997</v>
      </c>
      <c r="AG11" s="8">
        <v>46</v>
      </c>
      <c r="AH11" s="8">
        <v>48</v>
      </c>
      <c r="AI11" s="8">
        <v>61</v>
      </c>
      <c r="AJ11" s="8">
        <v>64</v>
      </c>
      <c r="AK11" s="8">
        <v>44</v>
      </c>
      <c r="AL11" s="8">
        <v>42</v>
      </c>
      <c r="AM11" s="8">
        <v>49</v>
      </c>
      <c r="AN11" s="8">
        <v>46</v>
      </c>
      <c r="AO11" s="8">
        <v>67</v>
      </c>
      <c r="AP11" s="8">
        <v>63</v>
      </c>
      <c r="AQ11" s="8">
        <v>100</v>
      </c>
      <c r="AR11" s="8">
        <v>100</v>
      </c>
    </row>
    <row r="12" spans="3:44" x14ac:dyDescent="0.3">
      <c r="C12" s="2">
        <v>7</v>
      </c>
      <c r="D12" s="2">
        <v>34</v>
      </c>
      <c r="E12" s="2">
        <v>194</v>
      </c>
      <c r="F12" s="2">
        <v>12.4</v>
      </c>
      <c r="G12" s="25">
        <v>37.020000000000003</v>
      </c>
      <c r="H12" s="23">
        <v>36.547956084719999</v>
      </c>
      <c r="I12" s="25">
        <v>36.76</v>
      </c>
      <c r="J12" s="25">
        <v>36.479464504460502</v>
      </c>
      <c r="K12" s="5">
        <v>92.6</v>
      </c>
      <c r="L12" s="2">
        <v>91.1</v>
      </c>
      <c r="M12" s="2">
        <v>94.1</v>
      </c>
      <c r="N12" s="2">
        <v>92.9</v>
      </c>
      <c r="O12" s="2">
        <v>67.89</v>
      </c>
      <c r="P12" s="2">
        <v>67.36</v>
      </c>
      <c r="Q12" s="3">
        <v>67.95</v>
      </c>
      <c r="R12" s="3">
        <v>67.48</v>
      </c>
      <c r="S12" s="2">
        <v>176</v>
      </c>
      <c r="T12" s="23">
        <v>94.623655913978496</v>
      </c>
      <c r="U12" s="2">
        <v>165</v>
      </c>
      <c r="V12" s="23">
        <v>88.709677419354833</v>
      </c>
      <c r="W12" s="2">
        <v>161</v>
      </c>
      <c r="X12" s="52">
        <v>86.55913978494624</v>
      </c>
      <c r="Y12" s="2">
        <v>156</v>
      </c>
      <c r="Z12" s="52">
        <v>83.870967741935488</v>
      </c>
      <c r="AA12" s="8">
        <v>160</v>
      </c>
      <c r="AB12" s="8">
        <v>145</v>
      </c>
      <c r="AC12" s="8">
        <v>37.76</v>
      </c>
      <c r="AD12" s="8">
        <v>37.25</v>
      </c>
      <c r="AE12" s="8">
        <v>38.119999999999997</v>
      </c>
      <c r="AF12" s="8">
        <v>37.56</v>
      </c>
      <c r="AG12" s="8">
        <v>44</v>
      </c>
      <c r="AH12" s="8">
        <v>46</v>
      </c>
      <c r="AI12" s="8">
        <v>65</v>
      </c>
      <c r="AJ12" s="8">
        <v>62</v>
      </c>
      <c r="AK12" s="8">
        <v>35</v>
      </c>
      <c r="AL12" s="8">
        <v>36</v>
      </c>
      <c r="AM12" s="8">
        <v>44</v>
      </c>
      <c r="AN12" s="8">
        <v>48</v>
      </c>
      <c r="AO12" s="8">
        <v>78</v>
      </c>
      <c r="AP12" s="8">
        <v>75</v>
      </c>
      <c r="AQ12" s="8">
        <v>96</v>
      </c>
      <c r="AR12" s="8">
        <v>87</v>
      </c>
    </row>
    <row r="13" spans="3:44" x14ac:dyDescent="0.3">
      <c r="C13" s="2">
        <v>8</v>
      </c>
      <c r="D13" s="2">
        <v>35</v>
      </c>
      <c r="E13" s="2">
        <v>169</v>
      </c>
      <c r="F13" s="2">
        <v>14.7</v>
      </c>
      <c r="G13" s="25">
        <v>37.04</v>
      </c>
      <c r="H13" s="23">
        <v>35.8377970600338</v>
      </c>
      <c r="I13" s="3">
        <v>36.869999999999997</v>
      </c>
      <c r="J13" s="3">
        <v>36.997889811759002</v>
      </c>
      <c r="K13" s="5">
        <v>70.3</v>
      </c>
      <c r="L13" s="2">
        <v>68.3</v>
      </c>
      <c r="M13" s="2">
        <v>70.8</v>
      </c>
      <c r="N13" s="2">
        <v>69.7</v>
      </c>
      <c r="O13" s="2">
        <v>67.16</v>
      </c>
      <c r="P13" s="2">
        <v>66.2</v>
      </c>
      <c r="Q13" s="3">
        <v>67.23</v>
      </c>
      <c r="R13" s="3">
        <v>66.64</v>
      </c>
      <c r="S13" s="2">
        <v>165</v>
      </c>
      <c r="T13" s="23">
        <v>89.189189189189193</v>
      </c>
      <c r="U13" s="2">
        <v>160</v>
      </c>
      <c r="V13" s="23">
        <v>86.486486486486484</v>
      </c>
      <c r="W13" s="2">
        <v>145</v>
      </c>
      <c r="X13" s="52">
        <v>78.378378378378372</v>
      </c>
      <c r="Y13" s="2">
        <v>140</v>
      </c>
      <c r="Z13" s="52">
        <v>75.675675675675677</v>
      </c>
      <c r="AA13" s="8">
        <v>170</v>
      </c>
      <c r="AB13" s="8">
        <v>170</v>
      </c>
      <c r="AC13" s="8">
        <v>37.700000000000003</v>
      </c>
      <c r="AD13" s="8">
        <v>37.340000000000003</v>
      </c>
      <c r="AE13" s="8">
        <v>39.06</v>
      </c>
      <c r="AF13" s="8">
        <v>38.15</v>
      </c>
      <c r="AG13" s="8">
        <v>47</v>
      </c>
      <c r="AH13" s="8">
        <v>44</v>
      </c>
      <c r="AI13" s="8">
        <v>66</v>
      </c>
      <c r="AJ13" s="8">
        <v>62</v>
      </c>
      <c r="AK13" s="8">
        <v>41</v>
      </c>
      <c r="AL13" s="8">
        <v>39</v>
      </c>
      <c r="AM13" s="8">
        <v>56</v>
      </c>
      <c r="AN13" s="8">
        <v>55</v>
      </c>
      <c r="AO13" s="8">
        <v>79</v>
      </c>
      <c r="AP13" s="8">
        <v>68</v>
      </c>
      <c r="AQ13" s="8">
        <v>100</v>
      </c>
      <c r="AR13" s="8">
        <v>100</v>
      </c>
    </row>
    <row r="14" spans="3:44" x14ac:dyDescent="0.3">
      <c r="C14" s="2">
        <v>9</v>
      </c>
      <c r="D14" s="2">
        <v>44</v>
      </c>
      <c r="E14" s="2">
        <v>182</v>
      </c>
      <c r="F14" s="2">
        <v>20.2</v>
      </c>
      <c r="G14" s="25">
        <v>36.22</v>
      </c>
      <c r="H14" s="23">
        <v>36.960384721131298</v>
      </c>
      <c r="I14" s="25">
        <v>37.61</v>
      </c>
      <c r="J14" s="25">
        <v>37.437707230352899</v>
      </c>
      <c r="K14" s="5">
        <v>87.2</v>
      </c>
      <c r="L14" s="2">
        <v>85.4</v>
      </c>
      <c r="M14" s="2">
        <v>87</v>
      </c>
      <c r="N14" s="2">
        <v>85.2</v>
      </c>
      <c r="O14" s="2">
        <v>66.430000000000007</v>
      </c>
      <c r="P14" s="2">
        <v>65.72</v>
      </c>
      <c r="Q14" s="3">
        <v>66.02</v>
      </c>
      <c r="R14" s="3">
        <v>65.72</v>
      </c>
      <c r="S14" s="2">
        <v>170</v>
      </c>
      <c r="T14" s="23">
        <v>96.590909090909093</v>
      </c>
      <c r="U14" s="2">
        <v>170</v>
      </c>
      <c r="V14" s="23">
        <v>96.590909090909093</v>
      </c>
      <c r="W14" s="2">
        <v>164</v>
      </c>
      <c r="X14" s="52">
        <v>93.181818181818187</v>
      </c>
      <c r="Y14" s="2">
        <v>156</v>
      </c>
      <c r="Z14" s="52">
        <v>88.63636363636364</v>
      </c>
      <c r="AA14" s="8">
        <v>185</v>
      </c>
      <c r="AB14" s="8">
        <v>180</v>
      </c>
      <c r="AC14" s="8">
        <v>37.28</v>
      </c>
      <c r="AD14" s="8">
        <v>36.76</v>
      </c>
      <c r="AE14" s="8">
        <v>39.119999999999997</v>
      </c>
      <c r="AF14" s="8">
        <v>39.01</v>
      </c>
      <c r="AG14" s="8">
        <v>44</v>
      </c>
      <c r="AH14" s="8">
        <v>44</v>
      </c>
      <c r="AI14" s="8">
        <v>65</v>
      </c>
      <c r="AJ14" s="8">
        <v>71</v>
      </c>
      <c r="AK14" s="8">
        <v>44</v>
      </c>
      <c r="AL14" s="8">
        <v>47</v>
      </c>
      <c r="AM14" s="8">
        <v>57</v>
      </c>
      <c r="AN14" s="8">
        <v>48</v>
      </c>
      <c r="AO14" s="8">
        <v>80</v>
      </c>
      <c r="AP14" s="8">
        <v>79</v>
      </c>
      <c r="AQ14" s="8">
        <v>97</v>
      </c>
      <c r="AR14" s="8">
        <v>93</v>
      </c>
    </row>
    <row r="15" spans="3:44" x14ac:dyDescent="0.3">
      <c r="C15" s="2">
        <v>10</v>
      </c>
      <c r="D15" s="2">
        <v>36</v>
      </c>
      <c r="E15" s="2">
        <v>180</v>
      </c>
      <c r="F15" s="2">
        <v>15.6</v>
      </c>
      <c r="G15" s="25">
        <v>36.799999999999997</v>
      </c>
      <c r="H15" s="23">
        <v>36.791469310775398</v>
      </c>
      <c r="I15" s="25">
        <v>37.450000000000003</v>
      </c>
      <c r="J15" s="25">
        <v>36.884272437075801</v>
      </c>
      <c r="K15" s="5">
        <v>80.599999999999994</v>
      </c>
      <c r="L15" s="2">
        <v>78.400000000000006</v>
      </c>
      <c r="M15" s="2">
        <v>81.2</v>
      </c>
      <c r="N15" s="2">
        <v>79.599999999999994</v>
      </c>
      <c r="O15" s="2">
        <v>65.7</v>
      </c>
      <c r="P15" s="2">
        <v>64.739999999999995</v>
      </c>
      <c r="Q15" s="3">
        <v>65.319999999999993</v>
      </c>
      <c r="R15" s="3">
        <v>65.010000000000005</v>
      </c>
      <c r="S15" s="2">
        <v>171</v>
      </c>
      <c r="T15" s="23">
        <v>92.934782608695656</v>
      </c>
      <c r="U15" s="2">
        <v>168</v>
      </c>
      <c r="V15" s="23">
        <v>91.304347826086953</v>
      </c>
      <c r="W15" s="2">
        <v>161</v>
      </c>
      <c r="X15" s="52">
        <v>87.5</v>
      </c>
      <c r="Y15" s="2">
        <v>156</v>
      </c>
      <c r="Z15" s="52">
        <v>84.782608695652172</v>
      </c>
      <c r="AA15" s="8">
        <v>170</v>
      </c>
      <c r="AB15" s="8">
        <v>175</v>
      </c>
      <c r="AC15" s="8">
        <v>36.35</v>
      </c>
      <c r="AD15" s="8">
        <v>36.24</v>
      </c>
      <c r="AE15" s="8">
        <v>37.630000000000003</v>
      </c>
      <c r="AF15" s="8">
        <v>37.21</v>
      </c>
      <c r="AG15" s="8">
        <v>39</v>
      </c>
      <c r="AH15" s="8">
        <v>41</v>
      </c>
      <c r="AI15" s="8">
        <v>65</v>
      </c>
      <c r="AJ15" s="8">
        <v>61</v>
      </c>
      <c r="AK15" s="8">
        <v>46</v>
      </c>
      <c r="AL15" s="8">
        <v>48</v>
      </c>
      <c r="AM15" s="8">
        <v>61</v>
      </c>
      <c r="AN15" s="8">
        <v>58</v>
      </c>
      <c r="AO15" s="8">
        <v>86</v>
      </c>
      <c r="AP15" s="8">
        <v>82</v>
      </c>
      <c r="AQ15" s="8">
        <v>100</v>
      </c>
      <c r="AR15" s="8">
        <v>94</v>
      </c>
    </row>
    <row r="16" spans="3:44" x14ac:dyDescent="0.3">
      <c r="C16" s="2">
        <v>11</v>
      </c>
      <c r="D16" s="2">
        <v>40</v>
      </c>
      <c r="E16" s="2">
        <v>192</v>
      </c>
      <c r="F16" s="2">
        <v>13.8</v>
      </c>
      <c r="G16" s="25">
        <v>36.729999999999997</v>
      </c>
      <c r="H16" s="23">
        <v>36.295069132637899</v>
      </c>
      <c r="I16" s="25">
        <v>36.96</v>
      </c>
      <c r="J16" s="25">
        <v>36.933021073131897</v>
      </c>
      <c r="K16" s="5">
        <v>89.8</v>
      </c>
      <c r="L16" s="2">
        <v>88.1</v>
      </c>
      <c r="M16" s="2">
        <v>90.6</v>
      </c>
      <c r="N16" s="2">
        <v>89.2</v>
      </c>
      <c r="O16" s="2">
        <v>64.97</v>
      </c>
      <c r="P16" s="2">
        <v>64.290000000000006</v>
      </c>
      <c r="Q16" s="3">
        <v>64.78</v>
      </c>
      <c r="R16" s="3">
        <v>64.42</v>
      </c>
      <c r="S16" s="2">
        <v>164</v>
      </c>
      <c r="T16" s="23">
        <v>91.111111111111114</v>
      </c>
      <c r="U16" s="2">
        <v>154</v>
      </c>
      <c r="V16" s="23">
        <v>85.555555555555557</v>
      </c>
      <c r="W16" s="2">
        <v>147</v>
      </c>
      <c r="X16" s="52">
        <v>81.666666666666671</v>
      </c>
      <c r="Y16" s="2">
        <v>148</v>
      </c>
      <c r="Z16" s="52">
        <v>82.222222222222229</v>
      </c>
      <c r="AA16" s="8">
        <v>140</v>
      </c>
      <c r="AB16" s="8">
        <v>140</v>
      </c>
      <c r="AC16" s="8">
        <v>37.56</v>
      </c>
      <c r="AD16" s="8">
        <v>37.24</v>
      </c>
      <c r="AE16" s="8">
        <v>38.53</v>
      </c>
      <c r="AF16" s="8">
        <v>37.68</v>
      </c>
      <c r="AG16" s="8">
        <v>41</v>
      </c>
      <c r="AH16" s="8">
        <v>44</v>
      </c>
      <c r="AI16" s="8">
        <v>56</v>
      </c>
      <c r="AJ16" s="8">
        <v>58</v>
      </c>
      <c r="AK16" s="8">
        <v>39</v>
      </c>
      <c r="AL16" s="8">
        <v>37</v>
      </c>
      <c r="AM16" s="8">
        <v>64</v>
      </c>
      <c r="AN16" s="8">
        <v>63</v>
      </c>
      <c r="AO16" s="8">
        <v>87</v>
      </c>
      <c r="AP16" s="8">
        <v>86</v>
      </c>
      <c r="AQ16" s="8">
        <v>95</v>
      </c>
      <c r="AR16" s="8">
        <v>93</v>
      </c>
    </row>
    <row r="17" spans="3:44" x14ac:dyDescent="0.3">
      <c r="C17" s="2">
        <v>12</v>
      </c>
      <c r="D17" s="2">
        <v>51</v>
      </c>
      <c r="E17" s="2">
        <v>178</v>
      </c>
      <c r="F17" s="2">
        <v>18.5</v>
      </c>
      <c r="G17" s="25">
        <v>36.479999999999997</v>
      </c>
      <c r="H17" s="23">
        <v>36.478853629299799</v>
      </c>
      <c r="I17" s="25">
        <v>36.9</v>
      </c>
      <c r="J17" s="25">
        <v>37.0846164763419</v>
      </c>
      <c r="K17" s="5">
        <v>81.599999999999994</v>
      </c>
      <c r="L17" s="2">
        <v>79.900000000000006</v>
      </c>
      <c r="M17" s="2">
        <v>81.900000000000006</v>
      </c>
      <c r="N17" s="2">
        <v>80.5</v>
      </c>
      <c r="O17" s="2">
        <v>64.239999999999995</v>
      </c>
      <c r="P17" s="2">
        <v>63.48</v>
      </c>
      <c r="Q17" s="3">
        <v>63.97</v>
      </c>
      <c r="R17" s="3">
        <v>63.62</v>
      </c>
      <c r="S17" s="2">
        <v>165</v>
      </c>
      <c r="T17" s="23">
        <v>97.633136094674555</v>
      </c>
      <c r="U17" s="2">
        <v>134</v>
      </c>
      <c r="V17" s="23">
        <v>79.289940828402365</v>
      </c>
      <c r="W17" s="2">
        <v>139</v>
      </c>
      <c r="X17" s="52">
        <v>82.248520710059168</v>
      </c>
      <c r="Y17" s="2">
        <v>132</v>
      </c>
      <c r="Z17" s="52">
        <v>78.10650887573965</v>
      </c>
      <c r="AA17" s="8">
        <v>180</v>
      </c>
      <c r="AB17" s="8">
        <v>165</v>
      </c>
      <c r="AC17" s="8">
        <v>37.119999999999997</v>
      </c>
      <c r="AD17" s="8">
        <v>36.56</v>
      </c>
      <c r="AE17" s="8">
        <v>38.17</v>
      </c>
      <c r="AF17" s="8">
        <v>37.86</v>
      </c>
      <c r="AG17" s="8">
        <v>42</v>
      </c>
      <c r="AH17" s="8">
        <v>39</v>
      </c>
      <c r="AI17" s="8">
        <v>57</v>
      </c>
      <c r="AJ17" s="8">
        <v>51</v>
      </c>
      <c r="AK17" s="8">
        <v>40</v>
      </c>
      <c r="AL17" s="8">
        <v>41</v>
      </c>
      <c r="AM17" s="8">
        <v>54</v>
      </c>
      <c r="AN17" s="8">
        <v>53</v>
      </c>
      <c r="AO17" s="8">
        <v>91</v>
      </c>
      <c r="AP17" s="8">
        <v>85</v>
      </c>
      <c r="AQ17" s="8">
        <v>97</v>
      </c>
      <c r="AR17" s="8">
        <v>100</v>
      </c>
    </row>
    <row r="18" spans="3:44" x14ac:dyDescent="0.3">
      <c r="C18" s="2">
        <v>13</v>
      </c>
      <c r="D18" s="2">
        <v>24</v>
      </c>
      <c r="E18" s="2">
        <v>189</v>
      </c>
      <c r="F18" s="2">
        <v>7.5</v>
      </c>
      <c r="G18" s="25">
        <v>36.950000000000003</v>
      </c>
      <c r="H18" s="23">
        <v>36.752921459210299</v>
      </c>
      <c r="I18" s="25">
        <v>36.659999999999997</v>
      </c>
      <c r="J18" s="25">
        <v>37.496212928883999</v>
      </c>
      <c r="K18" s="5">
        <v>76.7</v>
      </c>
      <c r="L18" s="2">
        <v>74.900000000000006</v>
      </c>
      <c r="M18" s="2">
        <v>78.599999999999994</v>
      </c>
      <c r="N18" s="2">
        <v>77.599999999999994</v>
      </c>
      <c r="O18" s="2">
        <v>63.51</v>
      </c>
      <c r="P18" s="2">
        <v>62.63</v>
      </c>
      <c r="Q18" s="3">
        <v>63.56</v>
      </c>
      <c r="R18" s="3">
        <v>63.04</v>
      </c>
      <c r="S18" s="2">
        <v>178</v>
      </c>
      <c r="T18" s="23">
        <v>90.816326530612244</v>
      </c>
      <c r="U18" s="2">
        <v>167</v>
      </c>
      <c r="V18" s="23">
        <v>85.204081632653057</v>
      </c>
      <c r="W18" s="2">
        <v>157</v>
      </c>
      <c r="X18" s="52">
        <v>80.102040816326536</v>
      </c>
      <c r="Y18" s="2">
        <v>148</v>
      </c>
      <c r="Z18" s="52">
        <v>75.510204081632651</v>
      </c>
      <c r="AA18" s="8">
        <v>175</v>
      </c>
      <c r="AB18" s="8">
        <v>170</v>
      </c>
      <c r="AC18" s="8">
        <v>37.54</v>
      </c>
      <c r="AD18" s="8">
        <v>37.03</v>
      </c>
      <c r="AE18" s="8">
        <v>39.450000000000003</v>
      </c>
      <c r="AF18" s="8">
        <v>37.369999999999997</v>
      </c>
      <c r="AG18" s="8">
        <v>44</v>
      </c>
      <c r="AH18" s="8">
        <v>41</v>
      </c>
      <c r="AI18" s="8">
        <v>51</v>
      </c>
      <c r="AJ18" s="8">
        <v>59</v>
      </c>
      <c r="AK18" s="8">
        <v>38</v>
      </c>
      <c r="AL18" s="8">
        <v>37</v>
      </c>
      <c r="AM18" s="8">
        <v>43</v>
      </c>
      <c r="AN18" s="8">
        <v>48</v>
      </c>
      <c r="AO18" s="8">
        <v>84</v>
      </c>
      <c r="AP18" s="8">
        <v>82</v>
      </c>
      <c r="AQ18" s="8">
        <v>93</v>
      </c>
      <c r="AR18" s="8">
        <v>90</v>
      </c>
    </row>
    <row r="19" spans="3:44" x14ac:dyDescent="0.3">
      <c r="C19" s="2">
        <v>14</v>
      </c>
      <c r="D19" s="2">
        <v>26</v>
      </c>
      <c r="E19" s="2">
        <v>178</v>
      </c>
      <c r="F19" s="2">
        <v>8.9</v>
      </c>
      <c r="G19" s="25">
        <v>37.06</v>
      </c>
      <c r="H19" s="23">
        <v>36.4424886860143</v>
      </c>
      <c r="I19" s="25">
        <v>37.409999999999997</v>
      </c>
      <c r="J19" s="25">
        <v>36.9433970588249</v>
      </c>
      <c r="K19" s="5">
        <v>73</v>
      </c>
      <c r="L19" s="2">
        <v>71.2</v>
      </c>
      <c r="M19" s="2">
        <v>73.7</v>
      </c>
      <c r="N19" s="2">
        <v>72.2</v>
      </c>
      <c r="O19" s="2">
        <v>62.78</v>
      </c>
      <c r="P19" s="2">
        <v>61.84</v>
      </c>
      <c r="Q19" s="3">
        <v>62.98</v>
      </c>
      <c r="R19" s="3">
        <v>62.01</v>
      </c>
      <c r="S19" s="2">
        <v>174</v>
      </c>
      <c r="T19" s="23">
        <v>89.69072164948453</v>
      </c>
      <c r="U19" s="2">
        <v>167</v>
      </c>
      <c r="V19" s="23">
        <v>86.082474226804123</v>
      </c>
      <c r="W19" s="2">
        <v>159</v>
      </c>
      <c r="X19" s="52">
        <v>81.958762886597938</v>
      </c>
      <c r="Y19" s="2">
        <v>153</v>
      </c>
      <c r="Z19" s="52">
        <v>78.865979381443296</v>
      </c>
      <c r="AA19" s="8">
        <v>160</v>
      </c>
      <c r="AB19" s="8">
        <v>140</v>
      </c>
      <c r="AC19" s="8">
        <v>36.89</v>
      </c>
      <c r="AD19" s="8">
        <v>36.130000000000003</v>
      </c>
      <c r="AE19" s="8">
        <v>39.65</v>
      </c>
      <c r="AF19" s="8">
        <v>37.85</v>
      </c>
      <c r="AG19" s="8">
        <v>47</v>
      </c>
      <c r="AH19" s="8">
        <v>45</v>
      </c>
      <c r="AI19" s="8">
        <v>63</v>
      </c>
      <c r="AJ19" s="8">
        <v>61</v>
      </c>
      <c r="AK19" s="8">
        <v>40</v>
      </c>
      <c r="AL19" s="8">
        <v>39</v>
      </c>
      <c r="AM19" s="8">
        <v>49</v>
      </c>
      <c r="AN19" s="8">
        <v>47</v>
      </c>
      <c r="AO19" s="8">
        <v>78</v>
      </c>
      <c r="AP19" s="8">
        <v>75</v>
      </c>
      <c r="AQ19" s="8">
        <v>89</v>
      </c>
      <c r="AR19" s="8">
        <v>90</v>
      </c>
    </row>
    <row r="20" spans="3:44" x14ac:dyDescent="0.3">
      <c r="C20" s="2">
        <v>15</v>
      </c>
      <c r="D20" s="2">
        <v>28</v>
      </c>
      <c r="E20" s="2">
        <v>190</v>
      </c>
      <c r="F20" s="2">
        <v>8.4</v>
      </c>
      <c r="G20" s="25">
        <v>36.43</v>
      </c>
      <c r="H20" s="23">
        <v>36.4500231325774</v>
      </c>
      <c r="I20" s="3">
        <v>36.950000000000003</v>
      </c>
      <c r="J20" s="3">
        <v>36.993979283677902</v>
      </c>
      <c r="K20" s="5">
        <v>82.8</v>
      </c>
      <c r="L20" s="2">
        <v>81</v>
      </c>
      <c r="M20" s="2">
        <v>82.1</v>
      </c>
      <c r="N20" s="2">
        <v>80.900000000000006</v>
      </c>
      <c r="O20" s="2">
        <v>62.05</v>
      </c>
      <c r="P20" s="2">
        <v>61.21</v>
      </c>
      <c r="Q20" s="3">
        <v>61.87</v>
      </c>
      <c r="R20" s="3">
        <v>61.49</v>
      </c>
      <c r="S20" s="2">
        <v>173</v>
      </c>
      <c r="T20" s="23">
        <v>90.104166666666671</v>
      </c>
      <c r="U20" s="2">
        <v>156</v>
      </c>
      <c r="V20" s="23">
        <v>81.25</v>
      </c>
      <c r="W20" s="2">
        <v>161</v>
      </c>
      <c r="X20" s="52">
        <v>83.854166666666671</v>
      </c>
      <c r="Y20" s="2">
        <v>150</v>
      </c>
      <c r="Z20" s="52">
        <v>78.125</v>
      </c>
      <c r="AA20" s="8">
        <v>130</v>
      </c>
      <c r="AB20" s="8">
        <v>130</v>
      </c>
      <c r="AC20" s="8">
        <v>38.119999999999997</v>
      </c>
      <c r="AD20" s="8">
        <v>36.659999999999997</v>
      </c>
      <c r="AE20" s="8">
        <v>38.54</v>
      </c>
      <c r="AF20" s="8">
        <v>37.21</v>
      </c>
      <c r="AG20" s="8">
        <v>39</v>
      </c>
      <c r="AH20" s="8">
        <v>41</v>
      </c>
      <c r="AI20" s="8">
        <v>61</v>
      </c>
      <c r="AJ20" s="8">
        <v>54</v>
      </c>
      <c r="AK20" s="8">
        <v>38</v>
      </c>
      <c r="AL20" s="8">
        <v>41</v>
      </c>
      <c r="AM20" s="8">
        <v>46</v>
      </c>
      <c r="AN20" s="8">
        <v>51</v>
      </c>
      <c r="AO20" s="8">
        <v>79</v>
      </c>
      <c r="AP20" s="8">
        <v>80</v>
      </c>
      <c r="AQ20" s="8">
        <v>85</v>
      </c>
      <c r="AR20" s="8">
        <v>83</v>
      </c>
    </row>
    <row r="21" spans="3:44" x14ac:dyDescent="0.3">
      <c r="C21" s="2">
        <v>16</v>
      </c>
      <c r="D21" s="2">
        <v>33</v>
      </c>
      <c r="E21" s="2">
        <v>182</v>
      </c>
      <c r="F21" s="2">
        <v>11.4</v>
      </c>
      <c r="G21" s="25">
        <v>36.28</v>
      </c>
      <c r="H21" s="23">
        <v>35.959872927855898</v>
      </c>
      <c r="I21" s="25">
        <v>37.24</v>
      </c>
      <c r="J21" s="25">
        <v>36.996478469663998</v>
      </c>
      <c r="K21" s="5">
        <v>79.2</v>
      </c>
      <c r="L21" s="2">
        <v>77.599999999999994</v>
      </c>
      <c r="M21" s="2">
        <v>79.900000000000006</v>
      </c>
      <c r="N21" s="2">
        <v>78.599999999999994</v>
      </c>
      <c r="O21" s="2">
        <v>61.32</v>
      </c>
      <c r="P21" s="2">
        <v>60.52</v>
      </c>
      <c r="Q21" s="3">
        <v>61.11</v>
      </c>
      <c r="R21" s="3">
        <v>60.68</v>
      </c>
      <c r="S21" s="2">
        <v>167</v>
      </c>
      <c r="T21" s="23">
        <v>89.304812834224606</v>
      </c>
      <c r="U21" s="2">
        <v>161</v>
      </c>
      <c r="V21" s="23">
        <v>86.096256684491976</v>
      </c>
      <c r="W21" s="2">
        <v>148</v>
      </c>
      <c r="X21" s="52">
        <v>79.144385026737964</v>
      </c>
      <c r="Y21" s="2">
        <v>137</v>
      </c>
      <c r="Z21" s="52">
        <v>73.262032085561501</v>
      </c>
      <c r="AA21" s="8">
        <v>160</v>
      </c>
      <c r="AB21" s="8">
        <v>140</v>
      </c>
      <c r="AC21" s="8">
        <v>37.43</v>
      </c>
      <c r="AD21" s="8">
        <v>37.11</v>
      </c>
      <c r="AE21" s="8">
        <v>38.6</v>
      </c>
      <c r="AF21" s="8">
        <v>37.54</v>
      </c>
      <c r="AG21" s="8">
        <v>45</v>
      </c>
      <c r="AH21" s="8">
        <v>42</v>
      </c>
      <c r="AI21" s="8">
        <v>59</v>
      </c>
      <c r="AJ21" s="8">
        <v>63</v>
      </c>
      <c r="AK21" s="8">
        <v>39</v>
      </c>
      <c r="AL21" s="8">
        <v>41</v>
      </c>
      <c r="AM21" s="8">
        <v>51</v>
      </c>
      <c r="AN21" s="8">
        <v>56</v>
      </c>
      <c r="AO21" s="8">
        <v>89</v>
      </c>
      <c r="AP21" s="8">
        <v>85</v>
      </c>
      <c r="AQ21" s="8">
        <v>100</v>
      </c>
      <c r="AR21" s="8">
        <v>89</v>
      </c>
    </row>
    <row r="22" spans="3:44" x14ac:dyDescent="0.3">
      <c r="C22" s="2">
        <v>17</v>
      </c>
      <c r="D22" s="2">
        <v>36</v>
      </c>
      <c r="E22" s="2">
        <v>185</v>
      </c>
      <c r="F22" s="2">
        <v>15.2</v>
      </c>
      <c r="G22" s="25">
        <v>36.42</v>
      </c>
      <c r="H22" s="23">
        <v>36.772876200785497</v>
      </c>
      <c r="I22" s="25">
        <v>37.200000000000003</v>
      </c>
      <c r="J22" s="25">
        <v>37.6816379195186</v>
      </c>
      <c r="K22" s="5">
        <v>83.7</v>
      </c>
      <c r="L22" s="2">
        <v>82.1</v>
      </c>
      <c r="M22" s="2">
        <v>83.7</v>
      </c>
      <c r="N22" s="2">
        <v>82.6</v>
      </c>
      <c r="O22" s="2">
        <v>60.59</v>
      </c>
      <c r="P22" s="2">
        <v>59.82</v>
      </c>
      <c r="Q22" s="3">
        <v>60.67</v>
      </c>
      <c r="R22" s="3">
        <v>60.07</v>
      </c>
      <c r="S22" s="2">
        <v>174</v>
      </c>
      <c r="T22" s="23">
        <v>94.565217391304344</v>
      </c>
      <c r="U22" s="2">
        <v>161</v>
      </c>
      <c r="V22" s="23">
        <v>87.5</v>
      </c>
      <c r="W22" s="2">
        <v>162</v>
      </c>
      <c r="X22" s="52">
        <v>88.043478260869563</v>
      </c>
      <c r="Y22" s="2">
        <v>153</v>
      </c>
      <c r="Z22" s="52">
        <v>83.152173913043484</v>
      </c>
      <c r="AA22" s="8">
        <v>170</v>
      </c>
      <c r="AB22" s="8">
        <v>140</v>
      </c>
      <c r="AC22" s="8">
        <v>36.96</v>
      </c>
      <c r="AD22" s="8">
        <v>36.78</v>
      </c>
      <c r="AE22" s="8">
        <v>37.869999999999997</v>
      </c>
      <c r="AF22" s="8">
        <v>38.049999999999997</v>
      </c>
      <c r="AG22" s="8">
        <v>41</v>
      </c>
      <c r="AH22" s="8">
        <v>41</v>
      </c>
      <c r="AI22" s="8">
        <v>54</v>
      </c>
      <c r="AJ22" s="8">
        <v>69</v>
      </c>
      <c r="AK22" s="8">
        <v>46</v>
      </c>
      <c r="AL22" s="8">
        <v>43</v>
      </c>
      <c r="AM22" s="8">
        <v>61</v>
      </c>
      <c r="AN22" s="8">
        <v>57</v>
      </c>
      <c r="AO22" s="8">
        <v>91</v>
      </c>
      <c r="AP22" s="8">
        <v>85</v>
      </c>
      <c r="AQ22" s="8">
        <v>100</v>
      </c>
      <c r="AR22" s="8">
        <v>93</v>
      </c>
    </row>
    <row r="23" spans="3:44" x14ac:dyDescent="0.3">
      <c r="C23" s="2">
        <v>18</v>
      </c>
      <c r="D23" s="2">
        <v>34</v>
      </c>
      <c r="E23" s="2">
        <v>187</v>
      </c>
      <c r="F23" s="2">
        <v>10.6</v>
      </c>
      <c r="G23" s="25">
        <v>36.21</v>
      </c>
      <c r="H23" s="23">
        <v>36.598478233592402</v>
      </c>
      <c r="I23" s="25">
        <v>37.090000000000003</v>
      </c>
      <c r="J23" s="25">
        <v>37.676670006464398</v>
      </c>
      <c r="K23" s="5">
        <v>76.8</v>
      </c>
      <c r="L23" s="2">
        <v>75.2</v>
      </c>
      <c r="M23" s="2">
        <v>76.900000000000006</v>
      </c>
      <c r="N23" s="2">
        <v>75.8</v>
      </c>
      <c r="O23" s="2">
        <v>59.860000000000007</v>
      </c>
      <c r="P23" s="2">
        <v>59.01</v>
      </c>
      <c r="Q23" s="3">
        <v>59.8</v>
      </c>
      <c r="R23" s="3">
        <v>59.28</v>
      </c>
      <c r="S23" s="2">
        <v>165</v>
      </c>
      <c r="T23" s="23">
        <v>88.709677419354833</v>
      </c>
      <c r="U23" s="2">
        <v>143</v>
      </c>
      <c r="V23" s="23">
        <v>76.881720430107521</v>
      </c>
      <c r="W23" s="2">
        <v>137</v>
      </c>
      <c r="X23" s="52">
        <v>73.655913978494624</v>
      </c>
      <c r="Y23" s="2">
        <v>129</v>
      </c>
      <c r="Z23" s="52">
        <v>69.354838709677423</v>
      </c>
      <c r="AA23" s="8">
        <v>165</v>
      </c>
      <c r="AB23" s="8">
        <v>155</v>
      </c>
      <c r="AC23" s="8">
        <v>38.21</v>
      </c>
      <c r="AD23" s="8">
        <v>36.89</v>
      </c>
      <c r="AE23" s="8">
        <v>39.700000000000003</v>
      </c>
      <c r="AF23" s="8">
        <v>37.69</v>
      </c>
      <c r="AG23" s="8">
        <v>46</v>
      </c>
      <c r="AH23" s="8">
        <v>42</v>
      </c>
      <c r="AI23" s="8">
        <v>57</v>
      </c>
      <c r="AJ23" s="8">
        <v>63</v>
      </c>
      <c r="AK23" s="8">
        <v>40</v>
      </c>
      <c r="AL23" s="8">
        <v>42</v>
      </c>
      <c r="AM23" s="8">
        <v>55</v>
      </c>
      <c r="AN23" s="8">
        <v>58</v>
      </c>
      <c r="AO23" s="8">
        <v>79</v>
      </c>
      <c r="AP23" s="8">
        <v>73</v>
      </c>
      <c r="AQ23" s="8">
        <v>85</v>
      </c>
      <c r="AR23" s="8">
        <v>81</v>
      </c>
    </row>
    <row r="24" spans="3:44" x14ac:dyDescent="0.3">
      <c r="C24" s="2">
        <v>19</v>
      </c>
      <c r="D24" s="2">
        <v>37</v>
      </c>
      <c r="E24" s="2">
        <v>178</v>
      </c>
      <c r="F24" s="2">
        <v>11.6</v>
      </c>
      <c r="G24" s="25">
        <v>36.270000000000003</v>
      </c>
      <c r="H24" s="23">
        <v>36.659450397289199</v>
      </c>
      <c r="I24" s="25">
        <v>37.049999999999997</v>
      </c>
      <c r="J24" s="25">
        <v>37.369748119213597</v>
      </c>
      <c r="K24" s="5">
        <v>77.8</v>
      </c>
      <c r="L24" s="2">
        <v>76</v>
      </c>
      <c r="M24" s="2">
        <v>78.599999999999994</v>
      </c>
      <c r="N24" s="2">
        <v>77.2</v>
      </c>
      <c r="O24" s="2">
        <v>59.13</v>
      </c>
      <c r="P24" s="2">
        <v>58.16</v>
      </c>
      <c r="Q24" s="3">
        <v>59.54</v>
      </c>
      <c r="R24" s="3">
        <v>58.39</v>
      </c>
      <c r="S24" s="2">
        <v>158</v>
      </c>
      <c r="T24" s="23">
        <v>86.338797814207652</v>
      </c>
      <c r="U24" s="2">
        <v>147</v>
      </c>
      <c r="V24" s="23">
        <v>80.327868852459019</v>
      </c>
      <c r="W24" s="2">
        <v>145</v>
      </c>
      <c r="X24" s="52">
        <v>79.234972677595621</v>
      </c>
      <c r="Y24" s="2">
        <v>141</v>
      </c>
      <c r="Z24" s="52">
        <v>77.049180327868854</v>
      </c>
      <c r="AA24" s="8">
        <v>170</v>
      </c>
      <c r="AB24" s="8">
        <v>145</v>
      </c>
      <c r="AC24" s="8">
        <v>38.229999999999997</v>
      </c>
      <c r="AD24" s="8">
        <v>36.78</v>
      </c>
      <c r="AE24" s="8">
        <v>40.01</v>
      </c>
      <c r="AF24" s="8">
        <v>37.89</v>
      </c>
      <c r="AG24" s="8">
        <v>40</v>
      </c>
      <c r="AH24" s="8">
        <v>41</v>
      </c>
      <c r="AI24" s="8">
        <v>54</v>
      </c>
      <c r="AJ24" s="8">
        <v>57</v>
      </c>
      <c r="AK24" s="8">
        <v>41</v>
      </c>
      <c r="AL24" s="8">
        <v>41</v>
      </c>
      <c r="AM24" s="8">
        <v>49</v>
      </c>
      <c r="AN24" s="8">
        <v>47</v>
      </c>
      <c r="AO24" s="8">
        <v>86</v>
      </c>
      <c r="AP24" s="8">
        <v>85</v>
      </c>
      <c r="AQ24" s="8">
        <v>95</v>
      </c>
      <c r="AR24" s="8">
        <v>96</v>
      </c>
    </row>
    <row r="25" spans="3:44" x14ac:dyDescent="0.3">
      <c r="C25" s="2">
        <v>20</v>
      </c>
      <c r="D25" s="2">
        <v>46</v>
      </c>
      <c r="E25" s="2">
        <v>179</v>
      </c>
      <c r="F25" s="2">
        <v>14.9</v>
      </c>
      <c r="G25" s="25">
        <v>36.380000000000003</v>
      </c>
      <c r="H25" s="23">
        <v>35.930199269491602</v>
      </c>
      <c r="I25" s="25">
        <v>37.1</v>
      </c>
      <c r="J25" s="25">
        <v>37.209409996855101</v>
      </c>
      <c r="K25" s="5">
        <v>79.099999999999994</v>
      </c>
      <c r="L25" s="2">
        <v>77.2</v>
      </c>
      <c r="M25" s="2">
        <v>79.900000000000006</v>
      </c>
      <c r="N25" s="2">
        <v>78.7</v>
      </c>
      <c r="O25" s="2">
        <v>58.400000000000013</v>
      </c>
      <c r="P25" s="2">
        <v>57.38</v>
      </c>
      <c r="Q25" s="3">
        <v>58.63</v>
      </c>
      <c r="R25" s="3">
        <v>57.77</v>
      </c>
      <c r="S25" s="2">
        <v>151</v>
      </c>
      <c r="T25" s="23">
        <v>86.781609195402297</v>
      </c>
      <c r="U25" s="2">
        <v>137</v>
      </c>
      <c r="V25" s="23">
        <v>78.735632183908052</v>
      </c>
      <c r="W25" s="2">
        <v>129</v>
      </c>
      <c r="X25" s="52">
        <v>74.137931034482762</v>
      </c>
      <c r="Y25" s="2">
        <v>121</v>
      </c>
      <c r="Z25" s="52">
        <v>69.540229885057471</v>
      </c>
      <c r="AA25" s="8">
        <v>180</v>
      </c>
      <c r="AB25" s="8">
        <v>160</v>
      </c>
      <c r="AC25" s="8">
        <v>37.979999999999997</v>
      </c>
      <c r="AD25" s="8">
        <v>37.17</v>
      </c>
      <c r="AE25" s="8">
        <v>39.65</v>
      </c>
      <c r="AF25" s="8">
        <v>38.119999999999997</v>
      </c>
      <c r="AG25" s="8">
        <v>43</v>
      </c>
      <c r="AH25" s="8">
        <v>41</v>
      </c>
      <c r="AI25" s="8">
        <v>57</v>
      </c>
      <c r="AJ25" s="8">
        <v>55</v>
      </c>
      <c r="AK25" s="8">
        <v>39</v>
      </c>
      <c r="AL25" s="8">
        <v>41</v>
      </c>
      <c r="AM25" s="8">
        <v>47</v>
      </c>
      <c r="AN25" s="8">
        <v>55</v>
      </c>
      <c r="AO25" s="8">
        <v>88</v>
      </c>
      <c r="AP25" s="8">
        <v>79</v>
      </c>
      <c r="AQ25" s="8">
        <v>97</v>
      </c>
      <c r="AR25" s="8">
        <v>89</v>
      </c>
    </row>
    <row r="26" spans="3:44" x14ac:dyDescent="0.3">
      <c r="C26" s="2">
        <v>21</v>
      </c>
      <c r="D26" s="2">
        <v>35</v>
      </c>
      <c r="E26" s="2">
        <v>184</v>
      </c>
      <c r="F26" s="2">
        <v>13.6</v>
      </c>
      <c r="G26" s="25">
        <v>36.54</v>
      </c>
      <c r="H26" s="23">
        <v>37.216714730903099</v>
      </c>
      <c r="I26" s="25">
        <v>37.090000000000003</v>
      </c>
      <c r="J26" s="25">
        <v>37.300542627944097</v>
      </c>
      <c r="K26" s="5">
        <v>82.3</v>
      </c>
      <c r="L26" s="2">
        <v>80.400000000000006</v>
      </c>
      <c r="M26" s="2">
        <v>84.1</v>
      </c>
      <c r="N26" s="2">
        <v>82.6</v>
      </c>
      <c r="O26" s="2">
        <v>57.67</v>
      </c>
      <c r="P26" s="2">
        <v>56.67</v>
      </c>
      <c r="Q26" s="3">
        <v>57.43</v>
      </c>
      <c r="R26" s="3">
        <v>56.9</v>
      </c>
      <c r="S26" s="2">
        <v>169</v>
      </c>
      <c r="T26" s="23">
        <v>91.351351351351354</v>
      </c>
      <c r="U26" s="2">
        <v>166</v>
      </c>
      <c r="V26" s="23">
        <v>89.729729729729726</v>
      </c>
      <c r="W26" s="2">
        <v>153</v>
      </c>
      <c r="X26" s="52">
        <v>82.702702702702709</v>
      </c>
      <c r="Y26" s="2">
        <v>147</v>
      </c>
      <c r="Z26" s="52">
        <v>79.459459459459453</v>
      </c>
      <c r="AA26" s="8">
        <v>175</v>
      </c>
      <c r="AB26" s="8">
        <v>170</v>
      </c>
      <c r="AC26" s="8">
        <v>37.159999999999997</v>
      </c>
      <c r="AD26" s="8">
        <v>37.43</v>
      </c>
      <c r="AE26" s="8">
        <v>38.6</v>
      </c>
      <c r="AF26" s="8">
        <v>38.06</v>
      </c>
      <c r="AG26" s="8">
        <v>42</v>
      </c>
      <c r="AH26" s="8">
        <v>43</v>
      </c>
      <c r="AI26" s="8">
        <v>64</v>
      </c>
      <c r="AJ26" s="8">
        <v>67</v>
      </c>
      <c r="AK26" s="8">
        <v>43</v>
      </c>
      <c r="AL26" s="8">
        <v>46</v>
      </c>
      <c r="AM26" s="8">
        <v>53</v>
      </c>
      <c r="AN26" s="8">
        <v>58</v>
      </c>
      <c r="AO26" s="8">
        <v>84</v>
      </c>
      <c r="AP26" s="8">
        <v>85</v>
      </c>
      <c r="AQ26" s="8">
        <v>92</v>
      </c>
      <c r="AR26" s="8">
        <v>87</v>
      </c>
    </row>
    <row r="27" spans="3:44" x14ac:dyDescent="0.3">
      <c r="C27" s="6" t="s">
        <v>14</v>
      </c>
      <c r="D27" s="6">
        <f>AVERAGE(D6:D26)</f>
        <v>35.904761904761905</v>
      </c>
      <c r="E27" s="6">
        <f t="shared" ref="E27:S27" si="0">AVERAGE(E6:E26)</f>
        <v>182.9047619047619</v>
      </c>
      <c r="F27" s="6">
        <f t="shared" si="0"/>
        <v>13.652380952380952</v>
      </c>
      <c r="G27" s="6">
        <f t="shared" ref="G27" si="1">AVERAGE(G6:G26)</f>
        <v>36.600952380952378</v>
      </c>
      <c r="H27" s="6">
        <f>AVERAGE(H6:H26)</f>
        <v>36.539999999999949</v>
      </c>
      <c r="I27" s="7">
        <f t="shared" ref="I27:J27" si="2">AVERAGE(I6:I26)</f>
        <v>37.074761904761907</v>
      </c>
      <c r="J27" s="26">
        <f t="shared" si="2"/>
        <v>37.146583329999942</v>
      </c>
      <c r="K27" s="6">
        <f t="shared" si="0"/>
        <v>81.271428571428558</v>
      </c>
      <c r="L27" s="6">
        <f>AVERAGE(L6:L26)</f>
        <v>79.523809523809518</v>
      </c>
      <c r="M27" s="7">
        <f t="shared" si="0"/>
        <v>81.771428571428572</v>
      </c>
      <c r="N27" s="7">
        <f t="shared" si="0"/>
        <v>80.452380952380949</v>
      </c>
      <c r="O27" s="7">
        <f t="shared" si="0"/>
        <v>64.97</v>
      </c>
      <c r="P27" s="7">
        <f t="shared" si="0"/>
        <v>64.191428571428588</v>
      </c>
      <c r="Q27" s="7">
        <f t="shared" si="0"/>
        <v>64.834761904761919</v>
      </c>
      <c r="R27" s="7">
        <f t="shared" si="0"/>
        <v>64.394761904761907</v>
      </c>
      <c r="S27" s="7">
        <f t="shared" si="0"/>
        <v>169.66666666666666</v>
      </c>
      <c r="T27" s="7">
        <f t="shared" ref="T27:V27" si="3">AVERAGE(T6:T26)</f>
        <v>92.234067457519927</v>
      </c>
      <c r="U27" s="7">
        <f t="shared" si="3"/>
        <v>159.28571428571428</v>
      </c>
      <c r="V27" s="7">
        <f t="shared" si="3"/>
        <v>86.545179627023188</v>
      </c>
      <c r="W27" s="7">
        <f t="shared" ref="W27:AR27" si="4">AVERAGE(W6:W26)</f>
        <v>150.28571428571428</v>
      </c>
      <c r="X27" s="7">
        <f t="shared" ref="X27:Z27" si="5">AVERAGE(X6:X26)</f>
        <v>81.668641831656885</v>
      </c>
      <c r="Y27" s="7">
        <f t="shared" si="5"/>
        <v>143.71428571428572</v>
      </c>
      <c r="Z27" s="7">
        <f t="shared" si="5"/>
        <v>78.08614720951816</v>
      </c>
      <c r="AA27" s="7">
        <f t="shared" ref="AA27:AB27" si="6">AVERAGE(AA6:AA26)</f>
        <v>165.47619047619048</v>
      </c>
      <c r="AB27" s="7">
        <f t="shared" si="6"/>
        <v>156.9047619047619</v>
      </c>
      <c r="AC27" s="7">
        <f t="shared" ref="AC27:AF27" si="7">AVERAGE(AC6:AC26)</f>
        <v>37.51285714285715</v>
      </c>
      <c r="AD27" s="7">
        <f t="shared" si="7"/>
        <v>37.014761904761897</v>
      </c>
      <c r="AE27" s="7">
        <f t="shared" si="7"/>
        <v>38.703809523809525</v>
      </c>
      <c r="AF27" s="7">
        <f t="shared" si="7"/>
        <v>37.838095238095235</v>
      </c>
      <c r="AG27" s="7">
        <f t="shared" si="4"/>
        <v>44.571428571428569</v>
      </c>
      <c r="AH27" s="7">
        <f t="shared" si="4"/>
        <v>44.19047619047619</v>
      </c>
      <c r="AI27" s="7">
        <f t="shared" si="4"/>
        <v>60.61904761904762</v>
      </c>
      <c r="AJ27" s="7">
        <f t="shared" si="4"/>
        <v>61.904761904761905</v>
      </c>
      <c r="AK27" s="7">
        <f t="shared" si="4"/>
        <v>42</v>
      </c>
      <c r="AL27" s="7">
        <f t="shared" si="4"/>
        <v>41.904761904761905</v>
      </c>
      <c r="AM27" s="7">
        <f t="shared" si="4"/>
        <v>54.047619047619051</v>
      </c>
      <c r="AN27" s="7">
        <f t="shared" si="4"/>
        <v>54.285714285714285</v>
      </c>
      <c r="AO27" s="7">
        <f t="shared" si="4"/>
        <v>83.904761904761898</v>
      </c>
      <c r="AP27" s="7">
        <f t="shared" si="4"/>
        <v>80.142857142857139</v>
      </c>
      <c r="AQ27" s="7">
        <f t="shared" si="4"/>
        <v>96.142857142857139</v>
      </c>
      <c r="AR27" s="7">
        <f t="shared" si="4"/>
        <v>92.857142857142861</v>
      </c>
    </row>
    <row r="28" spans="3:44" x14ac:dyDescent="0.3">
      <c r="C28" s="7" t="s">
        <v>18</v>
      </c>
      <c r="D28" s="7">
        <f>MEDIAN(D6:D26)</f>
        <v>35</v>
      </c>
      <c r="E28" s="7">
        <f t="shared" ref="E28:S28" si="8">MEDIAN(E6:E26)</f>
        <v>182</v>
      </c>
      <c r="F28" s="7">
        <f t="shared" si="8"/>
        <v>13.8</v>
      </c>
      <c r="G28" s="7">
        <f t="shared" ref="G28:J28" si="9">MEDIAN(G6:G26)</f>
        <v>36.54</v>
      </c>
      <c r="H28" s="7">
        <f t="shared" si="9"/>
        <v>36.549153005801401</v>
      </c>
      <c r="I28" s="7">
        <f t="shared" si="9"/>
        <v>37.090000000000003</v>
      </c>
      <c r="J28" s="7">
        <f t="shared" si="9"/>
        <v>37.0846164763419</v>
      </c>
      <c r="K28" s="7">
        <f t="shared" si="8"/>
        <v>81</v>
      </c>
      <c r="L28" s="7">
        <f t="shared" si="8"/>
        <v>79.099999999999994</v>
      </c>
      <c r="M28" s="7">
        <f t="shared" si="8"/>
        <v>81.400000000000006</v>
      </c>
      <c r="N28" s="7">
        <f t="shared" si="8"/>
        <v>80</v>
      </c>
      <c r="O28" s="7">
        <f t="shared" si="8"/>
        <v>64.97</v>
      </c>
      <c r="P28" s="7">
        <f t="shared" si="8"/>
        <v>64.290000000000006</v>
      </c>
      <c r="Q28" s="7">
        <f t="shared" si="8"/>
        <v>64.78</v>
      </c>
      <c r="R28" s="7">
        <f t="shared" si="8"/>
        <v>64.42</v>
      </c>
      <c r="S28" s="7">
        <f t="shared" si="8"/>
        <v>169</v>
      </c>
      <c r="T28" s="7">
        <f t="shared" ref="T28:V28" si="10">MEDIAN(T6:T26)</f>
        <v>91.351351351351354</v>
      </c>
      <c r="U28" s="7">
        <f t="shared" si="10"/>
        <v>161</v>
      </c>
      <c r="V28" s="7">
        <f t="shared" si="10"/>
        <v>86.702127659574472</v>
      </c>
      <c r="W28" s="7">
        <f t="shared" ref="W28:AR28" si="11">MEDIAN(W6:W26)</f>
        <v>148</v>
      </c>
      <c r="X28" s="7">
        <f t="shared" ref="X28:Z28" si="12">MEDIAN(X6:X26)</f>
        <v>81.958762886597938</v>
      </c>
      <c r="Y28" s="7">
        <f t="shared" si="12"/>
        <v>147</v>
      </c>
      <c r="Z28" s="7">
        <f t="shared" si="12"/>
        <v>78.125</v>
      </c>
      <c r="AA28" s="7">
        <f t="shared" ref="AA28:AB28" si="13">MEDIAN(AA6:AA26)</f>
        <v>165</v>
      </c>
      <c r="AB28" s="7">
        <f t="shared" si="13"/>
        <v>160</v>
      </c>
      <c r="AC28" s="7">
        <f t="shared" ref="AC28:AF28" si="14">MEDIAN(AC6:AC26)</f>
        <v>37.56</v>
      </c>
      <c r="AD28" s="7">
        <f t="shared" si="14"/>
        <v>37.11</v>
      </c>
      <c r="AE28" s="7">
        <f t="shared" si="14"/>
        <v>38.6</v>
      </c>
      <c r="AF28" s="7">
        <f t="shared" si="14"/>
        <v>37.85</v>
      </c>
      <c r="AG28" s="7">
        <f t="shared" si="11"/>
        <v>44</v>
      </c>
      <c r="AH28" s="7">
        <f t="shared" si="11"/>
        <v>43</v>
      </c>
      <c r="AI28" s="7">
        <f t="shared" si="11"/>
        <v>61</v>
      </c>
      <c r="AJ28" s="7">
        <f t="shared" si="11"/>
        <v>62</v>
      </c>
      <c r="AK28" s="7">
        <f t="shared" si="11"/>
        <v>41</v>
      </c>
      <c r="AL28" s="7">
        <f t="shared" si="11"/>
        <v>41</v>
      </c>
      <c r="AM28" s="7">
        <f t="shared" si="11"/>
        <v>54</v>
      </c>
      <c r="AN28" s="7">
        <f t="shared" si="11"/>
        <v>55</v>
      </c>
      <c r="AO28" s="7">
        <f t="shared" si="11"/>
        <v>84</v>
      </c>
      <c r="AP28" s="7">
        <f t="shared" si="11"/>
        <v>81</v>
      </c>
      <c r="AQ28" s="7">
        <f t="shared" si="11"/>
        <v>97</v>
      </c>
      <c r="AR28" s="7">
        <f t="shared" si="11"/>
        <v>93</v>
      </c>
    </row>
    <row r="29" spans="3:44" x14ac:dyDescent="0.3">
      <c r="C29" s="7" t="s">
        <v>15</v>
      </c>
      <c r="D29" s="7">
        <f>STDEV(D6:D26)</f>
        <v>8.5317334809800602</v>
      </c>
      <c r="E29" s="7">
        <f t="shared" ref="E29:S29" si="15">STDEV(E6:E26)</f>
        <v>6.7298199225890292</v>
      </c>
      <c r="F29" s="7">
        <f t="shared" si="15"/>
        <v>3.7908599351095869</v>
      </c>
      <c r="G29" s="7">
        <f t="shared" ref="G29:J29" si="16">STDEV(G6:G26)</f>
        <v>0.31091646405272166</v>
      </c>
      <c r="H29" s="7">
        <f t="shared" si="16"/>
        <v>0.37000000000000549</v>
      </c>
      <c r="I29" s="7">
        <f t="shared" si="16"/>
        <v>0.24828650884852929</v>
      </c>
      <c r="J29" s="7">
        <f t="shared" si="16"/>
        <v>0.31999999999999168</v>
      </c>
      <c r="K29" s="7">
        <f t="shared" si="15"/>
        <v>6.2198185550016509</v>
      </c>
      <c r="L29" s="7">
        <f t="shared" si="15"/>
        <v>6.2719139632096956</v>
      </c>
      <c r="M29" s="7">
        <f t="shared" si="15"/>
        <v>6.0855684087144102</v>
      </c>
      <c r="N29" s="7">
        <f t="shared" si="15"/>
        <v>6.0491833372463644</v>
      </c>
      <c r="O29" s="7">
        <f t="shared" si="15"/>
        <v>4.5295308807866599</v>
      </c>
      <c r="P29" s="7">
        <f t="shared" si="15"/>
        <v>4.651761263988389</v>
      </c>
      <c r="Q29" s="7">
        <f t="shared" si="15"/>
        <v>4.3936381496973773</v>
      </c>
      <c r="R29" s="7">
        <f t="shared" si="15"/>
        <v>4.6017264358581986</v>
      </c>
      <c r="S29" s="7">
        <f t="shared" si="15"/>
        <v>8.1014402011823385</v>
      </c>
      <c r="T29" s="7">
        <f t="shared" ref="T29:V29" si="17">STDEV(T6:T26)</f>
        <v>3.882812078668143</v>
      </c>
      <c r="U29" s="7">
        <f t="shared" si="17"/>
        <v>11.136170154693476</v>
      </c>
      <c r="V29" s="7">
        <f t="shared" si="17"/>
        <v>5.08381430173411</v>
      </c>
      <c r="W29" s="7">
        <f t="shared" ref="W29" si="18">STDEV(W6:W26)</f>
        <v>10.560032467482557</v>
      </c>
      <c r="X29" s="7">
        <f t="shared" ref="X29:Z29" si="19">STDEV(X6:X26)</f>
        <v>4.9812331330363389</v>
      </c>
      <c r="Y29" s="7">
        <f t="shared" si="19"/>
        <v>10.507820217070986</v>
      </c>
      <c r="Z29" s="7">
        <f t="shared" si="19"/>
        <v>4.8738132779869057</v>
      </c>
      <c r="AA29" s="7">
        <f t="shared" ref="AA29:AR29" si="20">STDEV(AA6:AA26)</f>
        <v>12.738206497066404</v>
      </c>
      <c r="AB29" s="7">
        <f t="shared" si="20"/>
        <v>14.184162865339506</v>
      </c>
      <c r="AC29" s="7">
        <f t="shared" ref="AC29:AF29" si="21">STDEV(AC6:AC26)</f>
        <v>0.54072306088369138</v>
      </c>
      <c r="AD29" s="7">
        <f t="shared" si="21"/>
        <v>0.45270983032864448</v>
      </c>
      <c r="AE29" s="7">
        <f t="shared" si="21"/>
        <v>0.72328746837254243</v>
      </c>
      <c r="AF29" s="7">
        <f t="shared" si="21"/>
        <v>0.50573331952343248</v>
      </c>
      <c r="AG29" s="7">
        <f t="shared" si="20"/>
        <v>4.0935489318124514</v>
      </c>
      <c r="AH29" s="7">
        <f t="shared" si="20"/>
        <v>4.1184833084407133</v>
      </c>
      <c r="AI29" s="7">
        <f t="shared" si="20"/>
        <v>4.954555383444518</v>
      </c>
      <c r="AJ29" s="7">
        <f t="shared" si="20"/>
        <v>6.024157716268407</v>
      </c>
      <c r="AK29" s="7">
        <f t="shared" si="20"/>
        <v>4.0124805295477763</v>
      </c>
      <c r="AL29" s="7">
        <f t="shared" si="20"/>
        <v>3.4191338362919046</v>
      </c>
      <c r="AM29" s="7">
        <f t="shared" si="20"/>
        <v>6.6893661170262675</v>
      </c>
      <c r="AN29" s="7">
        <f t="shared" si="20"/>
        <v>5.2263070818969029</v>
      </c>
      <c r="AO29" s="7">
        <f t="shared" si="20"/>
        <v>6.2602297234587327</v>
      </c>
      <c r="AP29" s="7">
        <f t="shared" si="20"/>
        <v>6.8285116554467011</v>
      </c>
      <c r="AQ29" s="7">
        <f t="shared" si="20"/>
        <v>4.8403069560278329</v>
      </c>
      <c r="AR29" s="7">
        <f t="shared" si="20"/>
        <v>5.6328120356151974</v>
      </c>
    </row>
    <row r="30" spans="3:44" x14ac:dyDescent="0.3">
      <c r="C30" s="7" t="s">
        <v>16</v>
      </c>
      <c r="D30" s="7">
        <f>MIN(D6:D26)</f>
        <v>21</v>
      </c>
      <c r="E30" s="7">
        <f t="shared" ref="E30:S30" si="22">MIN(E6:E26)</f>
        <v>169</v>
      </c>
      <c r="F30" s="7">
        <f t="shared" si="22"/>
        <v>7.5</v>
      </c>
      <c r="G30" s="7">
        <f t="shared" ref="G30:J30" si="23">MIN(G6:G26)</f>
        <v>36.21</v>
      </c>
      <c r="H30" s="7">
        <f t="shared" si="23"/>
        <v>35.8377970600338</v>
      </c>
      <c r="I30" s="7">
        <f t="shared" si="23"/>
        <v>36.659999999999997</v>
      </c>
      <c r="J30" s="7">
        <f t="shared" si="23"/>
        <v>36.479464504460502</v>
      </c>
      <c r="K30" s="7">
        <f t="shared" si="22"/>
        <v>70.3</v>
      </c>
      <c r="L30" s="7">
        <f t="shared" si="22"/>
        <v>68.3</v>
      </c>
      <c r="M30" s="7">
        <f t="shared" si="22"/>
        <v>70.8</v>
      </c>
      <c r="N30" s="7">
        <f t="shared" si="22"/>
        <v>69.7</v>
      </c>
      <c r="O30" s="7">
        <f t="shared" si="22"/>
        <v>57.67</v>
      </c>
      <c r="P30" s="7">
        <f t="shared" si="22"/>
        <v>56.67</v>
      </c>
      <c r="Q30" s="7">
        <f t="shared" si="22"/>
        <v>57.43</v>
      </c>
      <c r="R30" s="7">
        <f t="shared" si="22"/>
        <v>56.9</v>
      </c>
      <c r="S30" s="7">
        <f t="shared" si="22"/>
        <v>151</v>
      </c>
      <c r="T30" s="7">
        <f t="shared" ref="T30:V30" si="24">MIN(T6:T26)</f>
        <v>86.338797814207652</v>
      </c>
      <c r="U30" s="7">
        <f t="shared" si="24"/>
        <v>134</v>
      </c>
      <c r="V30" s="7">
        <f t="shared" si="24"/>
        <v>76.881720430107521</v>
      </c>
      <c r="W30" s="7">
        <f t="shared" ref="W30" si="25">MIN(W6:W26)</f>
        <v>129</v>
      </c>
      <c r="X30" s="7">
        <f t="shared" ref="X30:Z30" si="26">MIN(X6:X26)</f>
        <v>71.808510638297875</v>
      </c>
      <c r="Y30" s="7">
        <f t="shared" si="26"/>
        <v>121</v>
      </c>
      <c r="Z30" s="7">
        <f t="shared" si="26"/>
        <v>69.354838709677423</v>
      </c>
      <c r="AA30" s="7">
        <f t="shared" ref="AA30:AR30" si="27">MIN(AA6:AA26)</f>
        <v>130</v>
      </c>
      <c r="AB30" s="7">
        <f t="shared" si="27"/>
        <v>130</v>
      </c>
      <c r="AC30" s="7">
        <f t="shared" ref="AC30:AF30" si="28">MIN(AC6:AC26)</f>
        <v>36.35</v>
      </c>
      <c r="AD30" s="7">
        <f t="shared" si="28"/>
        <v>36.130000000000003</v>
      </c>
      <c r="AE30" s="7">
        <f t="shared" si="28"/>
        <v>37.630000000000003</v>
      </c>
      <c r="AF30" s="7">
        <f t="shared" si="28"/>
        <v>37.119999999999997</v>
      </c>
      <c r="AG30" s="7">
        <f t="shared" si="27"/>
        <v>39</v>
      </c>
      <c r="AH30" s="7">
        <f t="shared" si="27"/>
        <v>39</v>
      </c>
      <c r="AI30" s="7">
        <f t="shared" si="27"/>
        <v>51</v>
      </c>
      <c r="AJ30" s="7">
        <f t="shared" si="27"/>
        <v>51</v>
      </c>
      <c r="AK30" s="7">
        <f t="shared" si="27"/>
        <v>35</v>
      </c>
      <c r="AL30" s="7">
        <f t="shared" si="27"/>
        <v>36</v>
      </c>
      <c r="AM30" s="7">
        <f t="shared" si="27"/>
        <v>43</v>
      </c>
      <c r="AN30" s="7">
        <f t="shared" si="27"/>
        <v>46</v>
      </c>
      <c r="AO30" s="7">
        <f t="shared" si="27"/>
        <v>67</v>
      </c>
      <c r="AP30" s="7">
        <f t="shared" si="27"/>
        <v>63</v>
      </c>
      <c r="AQ30" s="7">
        <f t="shared" si="27"/>
        <v>85</v>
      </c>
      <c r="AR30" s="7">
        <f t="shared" si="27"/>
        <v>81</v>
      </c>
    </row>
    <row r="31" spans="3:44" x14ac:dyDescent="0.3">
      <c r="C31" s="7" t="s">
        <v>17</v>
      </c>
      <c r="D31" s="7">
        <f>MAX(D6:D26)</f>
        <v>51</v>
      </c>
      <c r="E31" s="7">
        <f t="shared" ref="E31:S31" si="29">MAX(E6:E26)</f>
        <v>194</v>
      </c>
      <c r="F31" s="7">
        <f t="shared" si="29"/>
        <v>20.2</v>
      </c>
      <c r="G31" s="7">
        <f t="shared" ref="G31:J31" si="30">MAX(G6:G26)</f>
        <v>37.06</v>
      </c>
      <c r="H31" s="7">
        <f t="shared" si="30"/>
        <v>37.232841002578297</v>
      </c>
      <c r="I31" s="7">
        <f t="shared" si="30"/>
        <v>37.61</v>
      </c>
      <c r="J31" s="7">
        <f t="shared" si="30"/>
        <v>37.6816379195186</v>
      </c>
      <c r="K31" s="7">
        <f t="shared" si="29"/>
        <v>92.6</v>
      </c>
      <c r="L31" s="7">
        <f t="shared" si="29"/>
        <v>91.1</v>
      </c>
      <c r="M31" s="7">
        <f t="shared" si="29"/>
        <v>94.1</v>
      </c>
      <c r="N31" s="7">
        <f t="shared" si="29"/>
        <v>92.9</v>
      </c>
      <c r="O31" s="7">
        <f t="shared" si="29"/>
        <v>72.27</v>
      </c>
      <c r="P31" s="7">
        <f t="shared" si="29"/>
        <v>71.63</v>
      </c>
      <c r="Q31" s="7">
        <f t="shared" si="29"/>
        <v>71.78</v>
      </c>
      <c r="R31" s="7">
        <f t="shared" si="29"/>
        <v>71.760000000000005</v>
      </c>
      <c r="S31" s="7">
        <f t="shared" si="29"/>
        <v>188</v>
      </c>
      <c r="T31" s="7">
        <f t="shared" ref="T31:V31" si="31">MAX(T6:T26)</f>
        <v>99.408284023668642</v>
      </c>
      <c r="U31" s="7">
        <f t="shared" si="31"/>
        <v>176</v>
      </c>
      <c r="V31" s="7">
        <f t="shared" si="31"/>
        <v>96.590909090909093</v>
      </c>
      <c r="W31" s="7">
        <f t="shared" ref="W31" si="32">MAX(W6:W26)</f>
        <v>165</v>
      </c>
      <c r="X31" s="7">
        <f t="shared" ref="X31:Z31" si="33">MAX(X6:X26)</f>
        <v>93.181818181818187</v>
      </c>
      <c r="Y31" s="7">
        <f t="shared" si="33"/>
        <v>156</v>
      </c>
      <c r="Z31" s="7">
        <f t="shared" si="33"/>
        <v>88.63636363636364</v>
      </c>
      <c r="AA31" s="7">
        <f t="shared" ref="AA31:AR31" si="34">MAX(AA6:AA26)</f>
        <v>185</v>
      </c>
      <c r="AB31" s="7">
        <f t="shared" si="34"/>
        <v>180</v>
      </c>
      <c r="AC31" s="7">
        <f t="shared" ref="AC31:AF31" si="35">MAX(AC6:AC26)</f>
        <v>38.35</v>
      </c>
      <c r="AD31" s="7">
        <f t="shared" si="35"/>
        <v>38.04</v>
      </c>
      <c r="AE31" s="7">
        <f t="shared" si="35"/>
        <v>40.01</v>
      </c>
      <c r="AF31" s="7">
        <f t="shared" si="35"/>
        <v>39.01</v>
      </c>
      <c r="AG31" s="7">
        <f t="shared" si="34"/>
        <v>56</v>
      </c>
      <c r="AH31" s="7">
        <f t="shared" si="34"/>
        <v>54</v>
      </c>
      <c r="AI31" s="7">
        <f t="shared" si="34"/>
        <v>67</v>
      </c>
      <c r="AJ31" s="7">
        <f t="shared" si="34"/>
        <v>73</v>
      </c>
      <c r="AK31" s="7">
        <f t="shared" si="34"/>
        <v>52</v>
      </c>
      <c r="AL31" s="7">
        <f t="shared" si="34"/>
        <v>48</v>
      </c>
      <c r="AM31" s="7">
        <f t="shared" si="34"/>
        <v>65</v>
      </c>
      <c r="AN31" s="7">
        <f t="shared" si="34"/>
        <v>63</v>
      </c>
      <c r="AO31" s="7">
        <f t="shared" si="34"/>
        <v>95</v>
      </c>
      <c r="AP31" s="7">
        <f t="shared" si="34"/>
        <v>94</v>
      </c>
      <c r="AQ31" s="7">
        <f t="shared" si="34"/>
        <v>100</v>
      </c>
      <c r="AR31" s="7">
        <f t="shared" si="34"/>
        <v>100</v>
      </c>
    </row>
    <row r="32" spans="3:44" x14ac:dyDescent="0.3">
      <c r="C32" s="64" t="s">
        <v>20</v>
      </c>
      <c r="D32" s="64"/>
      <c r="E32" s="64"/>
      <c r="F32" s="64"/>
      <c r="G32" s="63">
        <f>H27-G27</f>
        <v>-6.0952380952429053E-2</v>
      </c>
      <c r="H32" s="63"/>
      <c r="I32" s="63">
        <f>J27-I27</f>
        <v>7.1821425238034919E-2</v>
      </c>
      <c r="J32" s="63"/>
      <c r="K32" s="63">
        <f>L27-K27</f>
        <v>-1.7476190476190396</v>
      </c>
      <c r="L32" s="63"/>
      <c r="M32" s="63">
        <f>N27-M27</f>
        <v>-1.3190476190476232</v>
      </c>
      <c r="N32" s="63"/>
      <c r="O32" s="63">
        <f>P27-O27</f>
        <v>-0.77857142857141071</v>
      </c>
      <c r="P32" s="63"/>
      <c r="Q32" s="63">
        <f>R27-Q27</f>
        <v>-0.44000000000001194</v>
      </c>
      <c r="R32" s="63"/>
      <c r="S32" s="60">
        <f>U27-S27</f>
        <v>-10.38095238095238</v>
      </c>
      <c r="T32" s="61"/>
      <c r="U32" s="61"/>
      <c r="V32" s="62"/>
      <c r="W32" s="60">
        <f t="shared" ref="W32" si="36">Y27-W27</f>
        <v>-6.5714285714285552</v>
      </c>
      <c r="X32" s="61"/>
      <c r="Y32" s="61"/>
      <c r="Z32" s="62"/>
      <c r="AA32" s="63">
        <f t="shared" ref="AA32" si="37">AB27-AA27</f>
        <v>-8.5714285714285836</v>
      </c>
      <c r="AB32" s="63"/>
      <c r="AC32" s="63">
        <f t="shared" ref="AC32" si="38">AD27-AC27</f>
        <v>-0.49809523809525302</v>
      </c>
      <c r="AD32" s="63"/>
      <c r="AE32" s="63">
        <f t="shared" ref="AE32" si="39">AF27-AE27</f>
        <v>-0.8657142857142901</v>
      </c>
      <c r="AF32" s="63"/>
      <c r="AG32" s="63">
        <f t="shared" ref="AG32" si="40">AH27-AG27</f>
        <v>-0.3809523809523796</v>
      </c>
      <c r="AH32" s="63"/>
      <c r="AI32" s="63">
        <f t="shared" ref="AI32" si="41">AJ27-AI27</f>
        <v>1.2857142857142847</v>
      </c>
      <c r="AJ32" s="63"/>
      <c r="AK32" s="63">
        <f t="shared" ref="AK32" si="42">AL27-AK27</f>
        <v>-9.52380952380949E-2</v>
      </c>
      <c r="AL32" s="63"/>
      <c r="AM32" s="63">
        <f t="shared" ref="AM32" si="43">AN27-AM27</f>
        <v>0.2380952380952337</v>
      </c>
      <c r="AN32" s="63"/>
      <c r="AO32" s="63">
        <f t="shared" ref="AO32" si="44">AP27-AO27</f>
        <v>-3.7619047619047592</v>
      </c>
      <c r="AP32" s="63"/>
      <c r="AQ32" s="63">
        <f t="shared" ref="AQ32" si="45">AR27-AQ27</f>
        <v>-3.2857142857142776</v>
      </c>
      <c r="AR32" s="63"/>
    </row>
  </sheetData>
  <mergeCells count="32">
    <mergeCell ref="AG4:AH4"/>
    <mergeCell ref="AI4:AJ4"/>
    <mergeCell ref="AK4:AL4"/>
    <mergeCell ref="AM4:AN4"/>
    <mergeCell ref="O32:P32"/>
    <mergeCell ref="C32:F32"/>
    <mergeCell ref="K4:N4"/>
    <mergeCell ref="O4:R4"/>
    <mergeCell ref="S4:V4"/>
    <mergeCell ref="K32:L32"/>
    <mergeCell ref="M32:N32"/>
    <mergeCell ref="Q32:R32"/>
    <mergeCell ref="S32:V32"/>
    <mergeCell ref="G4:J4"/>
    <mergeCell ref="G32:H32"/>
    <mergeCell ref="I32:J32"/>
    <mergeCell ref="W4:Z4"/>
    <mergeCell ref="W32:Z32"/>
    <mergeCell ref="AM32:AN32"/>
    <mergeCell ref="AO32:AP32"/>
    <mergeCell ref="AQ32:AR32"/>
    <mergeCell ref="AC32:AD32"/>
    <mergeCell ref="AE32:AF32"/>
    <mergeCell ref="AG32:AH32"/>
    <mergeCell ref="AI32:AJ32"/>
    <mergeCell ref="AK32:AL32"/>
    <mergeCell ref="AA4:AB4"/>
    <mergeCell ref="AA32:AB32"/>
    <mergeCell ref="AO4:AP4"/>
    <mergeCell ref="AQ4:AR4"/>
    <mergeCell ref="AC4:AD4"/>
    <mergeCell ref="AE4:AF4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5DEA-E84F-43CE-85A2-681FC2F70BEA}">
  <dimension ref="B1:F32"/>
  <sheetViews>
    <sheetView tabSelected="1" workbookViewId="0">
      <selection activeCell="B33" sqref="B33"/>
    </sheetView>
  </sheetViews>
  <sheetFormatPr baseColWidth="10" defaultRowHeight="15.6" x14ac:dyDescent="0.3"/>
  <cols>
    <col min="1" max="1" width="11.5546875" style="83"/>
    <col min="2" max="2" width="37" style="83" customWidth="1"/>
    <col min="3" max="3" width="51" style="83" customWidth="1"/>
    <col min="4" max="4" width="21.21875" style="83" customWidth="1"/>
    <col min="5" max="5" width="12.88671875" style="83" customWidth="1"/>
    <col min="6" max="6" width="61.21875" style="83" customWidth="1"/>
    <col min="7" max="16384" width="11.5546875" style="83"/>
  </cols>
  <sheetData>
    <row r="1" spans="2:6" ht="16.2" thickBot="1" x14ac:dyDescent="0.35">
      <c r="B1" s="82"/>
      <c r="C1" s="82"/>
      <c r="D1" s="82"/>
      <c r="E1" s="82"/>
      <c r="F1" s="82"/>
    </row>
    <row r="2" spans="2:6" ht="47.4" thickBot="1" x14ac:dyDescent="0.35">
      <c r="B2" s="84" t="s">
        <v>78</v>
      </c>
      <c r="C2" s="84" t="s">
        <v>151</v>
      </c>
      <c r="D2" s="84" t="s">
        <v>152</v>
      </c>
      <c r="E2" s="85" t="s">
        <v>153</v>
      </c>
      <c r="F2" s="84" t="s">
        <v>154</v>
      </c>
    </row>
    <row r="3" spans="2:6" x14ac:dyDescent="0.3">
      <c r="B3" s="86" t="s">
        <v>155</v>
      </c>
      <c r="C3" s="86" t="s">
        <v>156</v>
      </c>
      <c r="D3" s="86" t="s">
        <v>157</v>
      </c>
      <c r="E3" s="86" t="s">
        <v>157</v>
      </c>
      <c r="F3" s="87" t="s">
        <v>158</v>
      </c>
    </row>
    <row r="4" spans="2:6" x14ac:dyDescent="0.3">
      <c r="B4" s="88" t="s">
        <v>159</v>
      </c>
      <c r="C4" s="88" t="s">
        <v>160</v>
      </c>
      <c r="D4" s="88" t="s">
        <v>161</v>
      </c>
      <c r="E4" s="88" t="s">
        <v>161</v>
      </c>
      <c r="F4" s="88" t="s">
        <v>162</v>
      </c>
    </row>
    <row r="5" spans="2:6" x14ac:dyDescent="0.3">
      <c r="B5" s="88" t="s">
        <v>163</v>
      </c>
      <c r="C5" s="88" t="s">
        <v>164</v>
      </c>
      <c r="D5" s="88" t="s">
        <v>165</v>
      </c>
      <c r="E5" s="88" t="s">
        <v>166</v>
      </c>
      <c r="F5" s="88" t="s">
        <v>167</v>
      </c>
    </row>
    <row r="6" spans="2:6" x14ac:dyDescent="0.3">
      <c r="B6" s="88" t="s">
        <v>168</v>
      </c>
      <c r="C6" s="88" t="s">
        <v>169</v>
      </c>
      <c r="D6" s="88" t="s">
        <v>170</v>
      </c>
      <c r="E6" s="88" t="s">
        <v>166</v>
      </c>
      <c r="F6" s="88" t="s">
        <v>171</v>
      </c>
    </row>
    <row r="7" spans="2:6" x14ac:dyDescent="0.3">
      <c r="B7" s="88" t="s">
        <v>172</v>
      </c>
      <c r="C7" s="88" t="s">
        <v>173</v>
      </c>
      <c r="D7" s="88" t="s">
        <v>161</v>
      </c>
      <c r="E7" s="88" t="s">
        <v>161</v>
      </c>
      <c r="F7" s="88" t="s">
        <v>174</v>
      </c>
    </row>
    <row r="8" spans="2:6" x14ac:dyDescent="0.3">
      <c r="B8" s="88" t="s">
        <v>175</v>
      </c>
      <c r="C8" s="88" t="s">
        <v>176</v>
      </c>
      <c r="D8" s="88" t="s">
        <v>165</v>
      </c>
      <c r="E8" s="88" t="s">
        <v>157</v>
      </c>
      <c r="F8" s="88" t="s">
        <v>177</v>
      </c>
    </row>
    <row r="9" spans="2:6" x14ac:dyDescent="0.3">
      <c r="B9" s="88" t="s">
        <v>178</v>
      </c>
      <c r="C9" s="88" t="s">
        <v>179</v>
      </c>
      <c r="D9" s="88" t="s">
        <v>180</v>
      </c>
      <c r="E9" s="88" t="s">
        <v>180</v>
      </c>
      <c r="F9" s="88" t="s">
        <v>181</v>
      </c>
    </row>
    <row r="10" spans="2:6" x14ac:dyDescent="0.3">
      <c r="B10" s="88" t="s">
        <v>182</v>
      </c>
      <c r="C10" s="88" t="s">
        <v>183</v>
      </c>
      <c r="D10" s="88" t="s">
        <v>165</v>
      </c>
      <c r="E10" s="88" t="s">
        <v>157</v>
      </c>
      <c r="F10" s="88" t="s">
        <v>184</v>
      </c>
    </row>
    <row r="11" spans="2:6" x14ac:dyDescent="0.3">
      <c r="B11" s="88" t="s">
        <v>185</v>
      </c>
      <c r="C11" s="88" t="s">
        <v>186</v>
      </c>
      <c r="D11" s="88" t="s">
        <v>161</v>
      </c>
      <c r="E11" s="88" t="s">
        <v>161</v>
      </c>
      <c r="F11" s="88" t="s">
        <v>187</v>
      </c>
    </row>
    <row r="12" spans="2:6" x14ac:dyDescent="0.3">
      <c r="B12" s="88" t="s">
        <v>188</v>
      </c>
      <c r="C12" s="88" t="s">
        <v>189</v>
      </c>
      <c r="D12" s="88" t="s">
        <v>161</v>
      </c>
      <c r="E12" s="88" t="s">
        <v>161</v>
      </c>
      <c r="F12" s="88" t="s">
        <v>190</v>
      </c>
    </row>
    <row r="13" spans="2:6" x14ac:dyDescent="0.3">
      <c r="B13" s="88" t="s">
        <v>191</v>
      </c>
      <c r="C13" s="88" t="s">
        <v>192</v>
      </c>
      <c r="D13" s="88" t="s">
        <v>161</v>
      </c>
      <c r="E13" s="88" t="s">
        <v>161</v>
      </c>
      <c r="F13" s="88" t="s">
        <v>193</v>
      </c>
    </row>
    <row r="14" spans="2:6" x14ac:dyDescent="0.3">
      <c r="B14" s="88" t="s">
        <v>194</v>
      </c>
      <c r="C14" s="88" t="s">
        <v>195</v>
      </c>
      <c r="D14" s="88" t="s">
        <v>165</v>
      </c>
      <c r="E14" s="88" t="s">
        <v>157</v>
      </c>
      <c r="F14" s="88" t="s">
        <v>196</v>
      </c>
    </row>
    <row r="15" spans="2:6" x14ac:dyDescent="0.3">
      <c r="B15" s="88" t="s">
        <v>197</v>
      </c>
      <c r="C15" s="88" t="s">
        <v>198</v>
      </c>
      <c r="D15" s="88" t="s">
        <v>161</v>
      </c>
      <c r="E15" s="88" t="s">
        <v>161</v>
      </c>
      <c r="F15" s="88" t="s">
        <v>199</v>
      </c>
    </row>
    <row r="16" spans="2:6" x14ac:dyDescent="0.3">
      <c r="B16" s="88" t="s">
        <v>200</v>
      </c>
      <c r="C16" s="88" t="s">
        <v>201</v>
      </c>
      <c r="D16" s="88" t="s">
        <v>161</v>
      </c>
      <c r="E16" s="88" t="s">
        <v>161</v>
      </c>
      <c r="F16" s="88" t="s">
        <v>199</v>
      </c>
    </row>
    <row r="17" spans="2:6" x14ac:dyDescent="0.3">
      <c r="B17" s="88" t="s">
        <v>202</v>
      </c>
      <c r="C17" s="88" t="s">
        <v>203</v>
      </c>
      <c r="D17" s="88" t="s">
        <v>161</v>
      </c>
      <c r="E17" s="88" t="s">
        <v>161</v>
      </c>
      <c r="F17" s="88" t="s">
        <v>199</v>
      </c>
    </row>
    <row r="18" spans="2:6" x14ac:dyDescent="0.3">
      <c r="B18" s="88" t="s">
        <v>204</v>
      </c>
      <c r="C18" s="88" t="s">
        <v>205</v>
      </c>
      <c r="D18" s="88" t="s">
        <v>161</v>
      </c>
      <c r="E18" s="88" t="s">
        <v>161</v>
      </c>
      <c r="F18" s="88" t="s">
        <v>206</v>
      </c>
    </row>
    <row r="19" spans="2:6" x14ac:dyDescent="0.3">
      <c r="B19" s="88" t="s">
        <v>207</v>
      </c>
      <c r="C19" s="88" t="s">
        <v>208</v>
      </c>
      <c r="D19" s="88" t="s">
        <v>165</v>
      </c>
      <c r="E19" s="88" t="s">
        <v>209</v>
      </c>
      <c r="F19" s="88" t="s">
        <v>210</v>
      </c>
    </row>
    <row r="20" spans="2:6" x14ac:dyDescent="0.3">
      <c r="B20" s="88" t="s">
        <v>211</v>
      </c>
      <c r="C20" s="88" t="s">
        <v>212</v>
      </c>
      <c r="D20" s="88" t="s">
        <v>161</v>
      </c>
      <c r="E20" s="88" t="s">
        <v>161</v>
      </c>
      <c r="F20" s="88" t="s">
        <v>199</v>
      </c>
    </row>
    <row r="21" spans="2:6" x14ac:dyDescent="0.3">
      <c r="B21" s="88" t="s">
        <v>213</v>
      </c>
      <c r="C21" s="88" t="s">
        <v>214</v>
      </c>
      <c r="D21" s="88" t="s">
        <v>165</v>
      </c>
      <c r="E21" s="88" t="s">
        <v>165</v>
      </c>
      <c r="F21" s="88" t="s">
        <v>215</v>
      </c>
    </row>
    <row r="22" spans="2:6" x14ac:dyDescent="0.3">
      <c r="B22" s="88" t="s">
        <v>216</v>
      </c>
      <c r="C22" s="88" t="s">
        <v>217</v>
      </c>
      <c r="D22" s="88" t="s">
        <v>165</v>
      </c>
      <c r="E22" s="88" t="s">
        <v>157</v>
      </c>
      <c r="F22" s="88" t="s">
        <v>218</v>
      </c>
    </row>
    <row r="23" spans="2:6" x14ac:dyDescent="0.3">
      <c r="B23" s="88" t="s">
        <v>219</v>
      </c>
      <c r="C23" s="88" t="s">
        <v>220</v>
      </c>
      <c r="D23" s="88" t="s">
        <v>165</v>
      </c>
      <c r="E23" s="88" t="s">
        <v>157</v>
      </c>
      <c r="F23" s="88" t="s">
        <v>221</v>
      </c>
    </row>
    <row r="24" spans="2:6" ht="31.2" x14ac:dyDescent="0.3">
      <c r="B24" s="88" t="s">
        <v>222</v>
      </c>
      <c r="C24" s="88" t="s">
        <v>223</v>
      </c>
      <c r="D24" s="88" t="s">
        <v>165</v>
      </c>
      <c r="E24" s="88" t="s">
        <v>157</v>
      </c>
      <c r="F24" s="88" t="s">
        <v>224</v>
      </c>
    </row>
    <row r="25" spans="2:6" x14ac:dyDescent="0.3">
      <c r="B25" s="88" t="s">
        <v>225</v>
      </c>
      <c r="C25" s="88" t="s">
        <v>226</v>
      </c>
      <c r="D25" s="88" t="s">
        <v>165</v>
      </c>
      <c r="E25" s="88" t="s">
        <v>157</v>
      </c>
      <c r="F25" s="88" t="s">
        <v>227</v>
      </c>
    </row>
    <row r="26" spans="2:6" ht="31.2" x14ac:dyDescent="0.3">
      <c r="B26" s="88" t="s">
        <v>228</v>
      </c>
      <c r="C26" s="88" t="s">
        <v>229</v>
      </c>
      <c r="D26" s="88" t="s">
        <v>230</v>
      </c>
      <c r="E26" s="88" t="s">
        <v>157</v>
      </c>
      <c r="F26" s="88" t="s">
        <v>231</v>
      </c>
    </row>
    <row r="27" spans="2:6" ht="31.2" x14ac:dyDescent="0.3">
      <c r="B27" s="88" t="s">
        <v>232</v>
      </c>
      <c r="C27" s="88" t="s">
        <v>233</v>
      </c>
      <c r="D27" s="88" t="s">
        <v>234</v>
      </c>
      <c r="E27" s="88" t="s">
        <v>157</v>
      </c>
      <c r="F27" s="88" t="s">
        <v>235</v>
      </c>
    </row>
    <row r="28" spans="2:6" ht="31.2" x14ac:dyDescent="0.3">
      <c r="B28" s="88" t="s">
        <v>236</v>
      </c>
      <c r="C28" s="88" t="s">
        <v>229</v>
      </c>
      <c r="D28" s="88" t="s">
        <v>237</v>
      </c>
      <c r="E28" s="88" t="s">
        <v>157</v>
      </c>
      <c r="F28" s="88" t="s">
        <v>238</v>
      </c>
    </row>
    <row r="29" spans="2:6" ht="31.2" x14ac:dyDescent="0.3">
      <c r="B29" s="88" t="s">
        <v>239</v>
      </c>
      <c r="C29" s="88" t="s">
        <v>240</v>
      </c>
      <c r="D29" s="88" t="s">
        <v>241</v>
      </c>
      <c r="E29" s="88" t="s">
        <v>157</v>
      </c>
      <c r="F29" s="88" t="s">
        <v>242</v>
      </c>
    </row>
    <row r="30" spans="2:6" ht="31.8" thickBot="1" x14ac:dyDescent="0.35">
      <c r="B30" s="89" t="s">
        <v>243</v>
      </c>
      <c r="C30" s="89" t="s">
        <v>244</v>
      </c>
      <c r="D30" s="89" t="s">
        <v>245</v>
      </c>
      <c r="E30" s="89" t="s">
        <v>157</v>
      </c>
      <c r="F30" s="89" t="s">
        <v>246</v>
      </c>
    </row>
    <row r="31" spans="2:6" x14ac:dyDescent="0.3">
      <c r="B31" s="90"/>
      <c r="C31" s="91"/>
      <c r="D31" s="91"/>
      <c r="E31" s="91"/>
      <c r="F31" s="91"/>
    </row>
    <row r="32" spans="2:6" x14ac:dyDescent="0.3">
      <c r="B32" s="90"/>
      <c r="C32" s="91"/>
      <c r="D32" s="91"/>
      <c r="E32" s="91"/>
      <c r="F32" s="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095-8384-4565-AEED-23314DCF37E5}">
  <dimension ref="B1:F30"/>
  <sheetViews>
    <sheetView showGridLines="0" workbookViewId="0">
      <selection activeCell="H23" sqref="H23"/>
    </sheetView>
  </sheetViews>
  <sheetFormatPr baseColWidth="10" defaultRowHeight="14.4" x14ac:dyDescent="0.3"/>
  <cols>
    <col min="1" max="16384" width="11.5546875" style="9"/>
  </cols>
  <sheetData>
    <row r="1" spans="2:6" x14ac:dyDescent="0.3">
      <c r="C1" s="10"/>
      <c r="D1" s="10"/>
      <c r="E1" s="10"/>
      <c r="F1" s="10"/>
    </row>
    <row r="2" spans="2:6" x14ac:dyDescent="0.3">
      <c r="C2" s="10"/>
      <c r="D2" s="10"/>
      <c r="E2" s="10"/>
      <c r="F2" s="10"/>
    </row>
    <row r="3" spans="2:6" ht="15" thickBot="1" x14ac:dyDescent="0.35">
      <c r="C3" s="11"/>
      <c r="D3" s="11"/>
      <c r="E3" s="11"/>
      <c r="F3" s="11"/>
    </row>
    <row r="4" spans="2:6" ht="15" thickBot="1" x14ac:dyDescent="0.35">
      <c r="B4" s="13"/>
      <c r="C4" s="13" t="s">
        <v>25</v>
      </c>
      <c r="D4" s="13" t="s">
        <v>24</v>
      </c>
      <c r="E4" s="13" t="s">
        <v>23</v>
      </c>
      <c r="F4" s="13" t="s">
        <v>22</v>
      </c>
    </row>
    <row r="5" spans="2:6" x14ac:dyDescent="0.3">
      <c r="B5" s="14">
        <v>1</v>
      </c>
      <c r="C5" s="14">
        <v>24</v>
      </c>
      <c r="D5" s="14">
        <v>176</v>
      </c>
      <c r="E5" s="14">
        <v>12.6</v>
      </c>
      <c r="F5" s="14">
        <v>70.900000000000006</v>
      </c>
    </row>
    <row r="6" spans="2:6" x14ac:dyDescent="0.3">
      <c r="B6" s="14">
        <v>2</v>
      </c>
      <c r="C6" s="14">
        <v>43</v>
      </c>
      <c r="D6" s="14">
        <v>178</v>
      </c>
      <c r="E6" s="14">
        <v>17.899999999999999</v>
      </c>
      <c r="F6" s="14">
        <v>81</v>
      </c>
    </row>
    <row r="7" spans="2:6" x14ac:dyDescent="0.3">
      <c r="B7" s="14">
        <v>3</v>
      </c>
      <c r="C7" s="14">
        <v>32</v>
      </c>
      <c r="D7" s="14">
        <v>192</v>
      </c>
      <c r="E7" s="14">
        <v>14.1</v>
      </c>
      <c r="F7" s="14">
        <v>90.1</v>
      </c>
    </row>
    <row r="8" spans="2:6" x14ac:dyDescent="0.3">
      <c r="B8" s="14">
        <v>4</v>
      </c>
      <c r="C8" s="14">
        <v>44</v>
      </c>
      <c r="D8" s="14">
        <v>173</v>
      </c>
      <c r="E8" s="14">
        <v>17.2</v>
      </c>
      <c r="F8" s="14">
        <v>79.2</v>
      </c>
    </row>
    <row r="9" spans="2:6" x14ac:dyDescent="0.3">
      <c r="B9" s="14">
        <v>5</v>
      </c>
      <c r="C9" s="14">
        <v>51</v>
      </c>
      <c r="D9" s="14">
        <v>186</v>
      </c>
      <c r="E9" s="14">
        <v>19.8</v>
      </c>
      <c r="F9" s="14">
        <v>90.6</v>
      </c>
    </row>
    <row r="10" spans="2:6" x14ac:dyDescent="0.3">
      <c r="B10" s="14">
        <v>6</v>
      </c>
      <c r="C10" s="14">
        <v>21</v>
      </c>
      <c r="D10" s="14">
        <v>189</v>
      </c>
      <c r="E10" s="14">
        <v>7.8</v>
      </c>
      <c r="F10" s="14">
        <v>81.400000000000006</v>
      </c>
    </row>
    <row r="11" spans="2:6" x14ac:dyDescent="0.3">
      <c r="B11" s="14">
        <v>7</v>
      </c>
      <c r="C11" s="14">
        <v>34</v>
      </c>
      <c r="D11" s="14">
        <v>194</v>
      </c>
      <c r="E11" s="14">
        <v>12.4</v>
      </c>
      <c r="F11" s="14">
        <v>92.6</v>
      </c>
    </row>
    <row r="12" spans="2:6" x14ac:dyDescent="0.3">
      <c r="B12" s="14">
        <v>8</v>
      </c>
      <c r="C12" s="14">
        <v>35</v>
      </c>
      <c r="D12" s="14">
        <v>169</v>
      </c>
      <c r="E12" s="14">
        <v>14.7</v>
      </c>
      <c r="F12" s="14">
        <v>70.3</v>
      </c>
    </row>
    <row r="13" spans="2:6" x14ac:dyDescent="0.3">
      <c r="B13" s="14">
        <v>9</v>
      </c>
      <c r="C13" s="14">
        <v>44</v>
      </c>
      <c r="D13" s="14">
        <v>182</v>
      </c>
      <c r="E13" s="14">
        <v>20.2</v>
      </c>
      <c r="F13" s="14">
        <v>87.2</v>
      </c>
    </row>
    <row r="14" spans="2:6" x14ac:dyDescent="0.3">
      <c r="B14" s="14">
        <v>10</v>
      </c>
      <c r="C14" s="14">
        <v>36</v>
      </c>
      <c r="D14" s="14">
        <v>180</v>
      </c>
      <c r="E14" s="14">
        <v>15.6</v>
      </c>
      <c r="F14" s="14">
        <v>80.599999999999994</v>
      </c>
    </row>
    <row r="15" spans="2:6" x14ac:dyDescent="0.3">
      <c r="B15" s="14">
        <v>11</v>
      </c>
      <c r="C15" s="14">
        <v>40</v>
      </c>
      <c r="D15" s="14">
        <v>192</v>
      </c>
      <c r="E15" s="14">
        <v>13.8</v>
      </c>
      <c r="F15" s="14">
        <v>89.8</v>
      </c>
    </row>
    <row r="16" spans="2:6" x14ac:dyDescent="0.3">
      <c r="B16" s="14">
        <v>12</v>
      </c>
      <c r="C16" s="14">
        <v>51</v>
      </c>
      <c r="D16" s="14">
        <v>178</v>
      </c>
      <c r="E16" s="14">
        <v>18.5</v>
      </c>
      <c r="F16" s="14">
        <v>81.599999999999994</v>
      </c>
    </row>
    <row r="17" spans="2:6" x14ac:dyDescent="0.3">
      <c r="B17" s="14">
        <v>13</v>
      </c>
      <c r="C17" s="14">
        <v>24</v>
      </c>
      <c r="D17" s="14">
        <v>189</v>
      </c>
      <c r="E17" s="14">
        <v>7.5</v>
      </c>
      <c r="F17" s="14">
        <v>76.7</v>
      </c>
    </row>
    <row r="18" spans="2:6" x14ac:dyDescent="0.3">
      <c r="B18" s="14">
        <v>14</v>
      </c>
      <c r="C18" s="14">
        <v>26</v>
      </c>
      <c r="D18" s="14">
        <v>178</v>
      </c>
      <c r="E18" s="14">
        <v>8.9</v>
      </c>
      <c r="F18" s="14">
        <v>73</v>
      </c>
    </row>
    <row r="19" spans="2:6" x14ac:dyDescent="0.3">
      <c r="B19" s="14">
        <v>15</v>
      </c>
      <c r="C19" s="14">
        <v>28</v>
      </c>
      <c r="D19" s="14">
        <v>190</v>
      </c>
      <c r="E19" s="14">
        <v>8.4</v>
      </c>
      <c r="F19" s="14">
        <v>82.8</v>
      </c>
    </row>
    <row r="20" spans="2:6" x14ac:dyDescent="0.3">
      <c r="B20" s="14">
        <v>16</v>
      </c>
      <c r="C20" s="14">
        <v>33</v>
      </c>
      <c r="D20" s="14">
        <v>182</v>
      </c>
      <c r="E20" s="14">
        <v>11.4</v>
      </c>
      <c r="F20" s="14">
        <v>79.2</v>
      </c>
    </row>
    <row r="21" spans="2:6" x14ac:dyDescent="0.3">
      <c r="B21" s="14">
        <v>17</v>
      </c>
      <c r="C21" s="14">
        <v>36</v>
      </c>
      <c r="D21" s="14">
        <v>185</v>
      </c>
      <c r="E21" s="14">
        <v>15.2</v>
      </c>
      <c r="F21" s="14">
        <v>83.7</v>
      </c>
    </row>
    <row r="22" spans="2:6" x14ac:dyDescent="0.3">
      <c r="B22" s="14">
        <v>18</v>
      </c>
      <c r="C22" s="14">
        <v>34</v>
      </c>
      <c r="D22" s="14">
        <v>187</v>
      </c>
      <c r="E22" s="14">
        <v>10.6</v>
      </c>
      <c r="F22" s="14">
        <v>76.8</v>
      </c>
    </row>
    <row r="23" spans="2:6" x14ac:dyDescent="0.3">
      <c r="B23" s="14">
        <v>19</v>
      </c>
      <c r="C23" s="14">
        <v>37</v>
      </c>
      <c r="D23" s="14">
        <v>178</v>
      </c>
      <c r="E23" s="14">
        <v>11.6</v>
      </c>
      <c r="F23" s="14">
        <v>77.8</v>
      </c>
    </row>
    <row r="24" spans="2:6" x14ac:dyDescent="0.3">
      <c r="B24" s="14">
        <v>20</v>
      </c>
      <c r="C24" s="14">
        <v>46</v>
      </c>
      <c r="D24" s="14">
        <v>179</v>
      </c>
      <c r="E24" s="14">
        <v>14.9</v>
      </c>
      <c r="F24" s="14">
        <v>79.099999999999994</v>
      </c>
    </row>
    <row r="25" spans="2:6" ht="15" thickBot="1" x14ac:dyDescent="0.35">
      <c r="B25" s="16">
        <v>21</v>
      </c>
      <c r="C25" s="13">
        <v>35</v>
      </c>
      <c r="D25" s="13">
        <v>184</v>
      </c>
      <c r="E25" s="13">
        <v>13.6</v>
      </c>
      <c r="F25" s="13">
        <v>82.3</v>
      </c>
    </row>
    <row r="26" spans="2:6" ht="15" thickBot="1" x14ac:dyDescent="0.35">
      <c r="B26" s="13" t="s">
        <v>26</v>
      </c>
      <c r="C26" s="13">
        <f>AVERAGE(C5:C25)</f>
        <v>35.904761904761905</v>
      </c>
      <c r="D26" s="13">
        <f t="shared" ref="D26:F26" si="0">AVERAGE(D5:D25)</f>
        <v>182.9047619047619</v>
      </c>
      <c r="E26" s="13">
        <f t="shared" si="0"/>
        <v>13.652380952380952</v>
      </c>
      <c r="F26" s="13">
        <f t="shared" si="0"/>
        <v>81.271428571428558</v>
      </c>
    </row>
    <row r="27" spans="2:6" ht="15" thickBot="1" x14ac:dyDescent="0.35">
      <c r="B27" s="13" t="s">
        <v>27</v>
      </c>
      <c r="C27" s="13">
        <f>MEDIAN(C5:C25)</f>
        <v>35</v>
      </c>
      <c r="D27" s="13">
        <f t="shared" ref="D27:F27" si="1">MEDIAN(D5:D25)</f>
        <v>182</v>
      </c>
      <c r="E27" s="13">
        <f t="shared" si="1"/>
        <v>13.8</v>
      </c>
      <c r="F27" s="13">
        <f t="shared" si="1"/>
        <v>81</v>
      </c>
    </row>
    <row r="28" spans="2:6" ht="15" thickBot="1" x14ac:dyDescent="0.35">
      <c r="B28" s="13" t="s">
        <v>15</v>
      </c>
      <c r="C28" s="13">
        <f>STDEV(C5:C25)</f>
        <v>8.5317334809800602</v>
      </c>
      <c r="D28" s="13">
        <f t="shared" ref="D28:F28" si="2">STDEV(D5:D25)</f>
        <v>6.7298199225890292</v>
      </c>
      <c r="E28" s="13">
        <f t="shared" si="2"/>
        <v>3.7908599351095869</v>
      </c>
      <c r="F28" s="13">
        <f t="shared" si="2"/>
        <v>6.2198185550016509</v>
      </c>
    </row>
    <row r="29" spans="2:6" ht="15" thickBot="1" x14ac:dyDescent="0.35">
      <c r="B29" s="13" t="s">
        <v>16</v>
      </c>
      <c r="C29" s="13">
        <f>MIN(C5:C25)</f>
        <v>21</v>
      </c>
      <c r="D29" s="13">
        <f t="shared" ref="D29:F29" si="3">MIN(D5:D25)</f>
        <v>169</v>
      </c>
      <c r="E29" s="13">
        <f t="shared" si="3"/>
        <v>7.5</v>
      </c>
      <c r="F29" s="13">
        <f t="shared" si="3"/>
        <v>70.3</v>
      </c>
    </row>
    <row r="30" spans="2:6" ht="15" thickBot="1" x14ac:dyDescent="0.35">
      <c r="B30" s="13" t="s">
        <v>17</v>
      </c>
      <c r="C30" s="13">
        <f>MAX(C5:C25)</f>
        <v>51</v>
      </c>
      <c r="D30" s="13">
        <f t="shared" ref="D30:F30" si="4">MAX(D5:D25)</f>
        <v>194</v>
      </c>
      <c r="E30" s="13">
        <f t="shared" si="4"/>
        <v>20.2</v>
      </c>
      <c r="F30" s="13">
        <f t="shared" si="4"/>
        <v>92.6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AF11-BBBF-4AE5-8823-5F15D79100D3}">
  <dimension ref="F4:N33"/>
  <sheetViews>
    <sheetView showGridLines="0" topLeftCell="A3" workbookViewId="0">
      <selection activeCell="D25" sqref="D25"/>
    </sheetView>
  </sheetViews>
  <sheetFormatPr baseColWidth="10" defaultRowHeight="14.4" x14ac:dyDescent="0.3"/>
  <cols>
    <col min="1" max="16384" width="11.5546875" style="15"/>
  </cols>
  <sheetData>
    <row r="4" spans="6:14" ht="15" thickBot="1" x14ac:dyDescent="0.35">
      <c r="G4" s="17"/>
      <c r="H4" s="17"/>
      <c r="I4" s="17"/>
      <c r="J4" s="17"/>
      <c r="K4" s="17"/>
      <c r="L4" s="17"/>
      <c r="M4" s="17"/>
      <c r="N4" s="17"/>
    </row>
    <row r="5" spans="6:14" ht="24.6" customHeight="1" thickBot="1" x14ac:dyDescent="0.35">
      <c r="F5" s="12"/>
      <c r="G5" s="65" t="s">
        <v>28</v>
      </c>
      <c r="H5" s="65"/>
      <c r="I5" s="65"/>
      <c r="J5" s="66"/>
      <c r="K5" s="65" t="s">
        <v>29</v>
      </c>
      <c r="L5" s="65"/>
      <c r="M5" s="65"/>
      <c r="N5" s="65"/>
    </row>
    <row r="6" spans="6:14" ht="26.4" customHeight="1" thickBot="1" x14ac:dyDescent="0.35">
      <c r="F6" s="14"/>
      <c r="G6" s="18" t="s">
        <v>2</v>
      </c>
      <c r="H6" s="18" t="s">
        <v>3</v>
      </c>
      <c r="I6" s="18" t="s">
        <v>0</v>
      </c>
      <c r="J6" s="19" t="s">
        <v>1</v>
      </c>
      <c r="K6" s="18" t="s">
        <v>2</v>
      </c>
      <c r="L6" s="18" t="s">
        <v>3</v>
      </c>
      <c r="M6" s="18" t="s">
        <v>0</v>
      </c>
      <c r="N6" s="18" t="s">
        <v>1</v>
      </c>
    </row>
    <row r="7" spans="6:14" x14ac:dyDescent="0.3">
      <c r="F7" s="14">
        <v>1</v>
      </c>
      <c r="G7" s="14">
        <v>70.900000000000006</v>
      </c>
      <c r="H7" s="14">
        <v>69.3</v>
      </c>
      <c r="I7" s="14">
        <v>71.599999999999994</v>
      </c>
      <c r="J7" s="20">
        <v>70.3</v>
      </c>
      <c r="K7" s="14">
        <v>72.27</v>
      </c>
      <c r="L7" s="14">
        <v>71.63</v>
      </c>
      <c r="M7" s="14">
        <v>71.78</v>
      </c>
      <c r="N7" s="14">
        <v>71.760000000000005</v>
      </c>
    </row>
    <row r="8" spans="6:14" x14ac:dyDescent="0.3">
      <c r="F8" s="14">
        <v>2</v>
      </c>
      <c r="G8" s="14">
        <v>81</v>
      </c>
      <c r="H8" s="14">
        <v>79.099999999999994</v>
      </c>
      <c r="I8" s="14">
        <v>81.400000000000006</v>
      </c>
      <c r="J8" s="20">
        <v>80</v>
      </c>
      <c r="K8" s="14">
        <v>71.539999999999992</v>
      </c>
      <c r="L8" s="14">
        <v>70.86</v>
      </c>
      <c r="M8" s="14">
        <v>71.25</v>
      </c>
      <c r="N8" s="14">
        <v>71.040000000000006</v>
      </c>
    </row>
    <row r="9" spans="6:14" x14ac:dyDescent="0.3">
      <c r="F9" s="14">
        <v>3</v>
      </c>
      <c r="G9" s="14">
        <v>90.1</v>
      </c>
      <c r="H9" s="14">
        <v>88.1</v>
      </c>
      <c r="I9" s="14">
        <v>88.6</v>
      </c>
      <c r="J9" s="20">
        <v>87.2</v>
      </c>
      <c r="K9" s="14">
        <v>70.81</v>
      </c>
      <c r="L9" s="14">
        <v>70.150000000000006</v>
      </c>
      <c r="M9" s="14">
        <v>70.45</v>
      </c>
      <c r="N9" s="14">
        <v>70.34</v>
      </c>
    </row>
    <row r="10" spans="6:14" x14ac:dyDescent="0.3">
      <c r="F10" s="14">
        <v>4</v>
      </c>
      <c r="G10" s="14">
        <v>79.2</v>
      </c>
      <c r="H10" s="14">
        <v>77.8</v>
      </c>
      <c r="I10" s="14">
        <v>79.8</v>
      </c>
      <c r="J10" s="20">
        <v>78.8</v>
      </c>
      <c r="K10" s="14">
        <v>70.08</v>
      </c>
      <c r="L10" s="14">
        <v>69.540000000000006</v>
      </c>
      <c r="M10" s="14">
        <v>69.89</v>
      </c>
      <c r="N10" s="14">
        <v>69.7</v>
      </c>
    </row>
    <row r="11" spans="6:14" x14ac:dyDescent="0.3">
      <c r="F11" s="14">
        <v>5</v>
      </c>
      <c r="G11" s="14">
        <v>90.6</v>
      </c>
      <c r="H11" s="14">
        <v>89.3</v>
      </c>
      <c r="I11" s="14">
        <v>90.9</v>
      </c>
      <c r="J11" s="20">
        <v>89.7</v>
      </c>
      <c r="K11" s="14">
        <v>69.349999999999994</v>
      </c>
      <c r="L11" s="14">
        <v>68.900000000000006</v>
      </c>
      <c r="M11" s="14">
        <v>69.31</v>
      </c>
      <c r="N11" s="14">
        <v>68.94</v>
      </c>
    </row>
    <row r="12" spans="6:14" x14ac:dyDescent="0.3">
      <c r="F12" s="14">
        <v>6</v>
      </c>
      <c r="G12" s="14">
        <v>81.400000000000006</v>
      </c>
      <c r="H12" s="14">
        <v>79.599999999999994</v>
      </c>
      <c r="I12" s="14">
        <v>81.8</v>
      </c>
      <c r="J12" s="20">
        <v>80.2</v>
      </c>
      <c r="K12" s="14">
        <v>68.61999999999999</v>
      </c>
      <c r="L12" s="14">
        <v>67.91</v>
      </c>
      <c r="M12" s="14">
        <v>67.989999999999995</v>
      </c>
      <c r="N12" s="14">
        <v>67.989999999999995</v>
      </c>
    </row>
    <row r="13" spans="6:14" x14ac:dyDescent="0.3">
      <c r="F13" s="14">
        <v>7</v>
      </c>
      <c r="G13" s="14">
        <v>92.6</v>
      </c>
      <c r="H13" s="14">
        <v>91.1</v>
      </c>
      <c r="I13" s="14">
        <v>94.1</v>
      </c>
      <c r="J13" s="20">
        <v>92.9</v>
      </c>
      <c r="K13" s="14">
        <v>67.89</v>
      </c>
      <c r="L13" s="14">
        <v>67.36</v>
      </c>
      <c r="M13" s="14">
        <v>67.95</v>
      </c>
      <c r="N13" s="14">
        <v>67.48</v>
      </c>
    </row>
    <row r="14" spans="6:14" x14ac:dyDescent="0.3">
      <c r="F14" s="14">
        <v>8</v>
      </c>
      <c r="G14" s="14">
        <v>70.3</v>
      </c>
      <c r="H14" s="14">
        <v>68.3</v>
      </c>
      <c r="I14" s="14">
        <v>70.8</v>
      </c>
      <c r="J14" s="20">
        <v>69.7</v>
      </c>
      <c r="K14" s="14">
        <v>67.16</v>
      </c>
      <c r="L14" s="14">
        <v>66.2</v>
      </c>
      <c r="M14" s="14">
        <v>67.23</v>
      </c>
      <c r="N14" s="14">
        <v>66.64</v>
      </c>
    </row>
    <row r="15" spans="6:14" x14ac:dyDescent="0.3">
      <c r="F15" s="14">
        <v>9</v>
      </c>
      <c r="G15" s="14">
        <v>87.2</v>
      </c>
      <c r="H15" s="14">
        <v>85.4</v>
      </c>
      <c r="I15" s="14">
        <v>87</v>
      </c>
      <c r="J15" s="20">
        <v>85.2</v>
      </c>
      <c r="K15" s="14">
        <v>66.430000000000007</v>
      </c>
      <c r="L15" s="14">
        <v>65.72</v>
      </c>
      <c r="M15" s="14">
        <v>66.02</v>
      </c>
      <c r="N15" s="14">
        <v>65.72</v>
      </c>
    </row>
    <row r="16" spans="6:14" x14ac:dyDescent="0.3">
      <c r="F16" s="14">
        <v>10</v>
      </c>
      <c r="G16" s="14">
        <v>80.599999999999994</v>
      </c>
      <c r="H16" s="14">
        <v>78.400000000000006</v>
      </c>
      <c r="I16" s="14">
        <v>81.2</v>
      </c>
      <c r="J16" s="20">
        <v>79.599999999999994</v>
      </c>
      <c r="K16" s="14">
        <v>65.7</v>
      </c>
      <c r="L16" s="14">
        <v>64.739999999999995</v>
      </c>
      <c r="M16" s="14">
        <v>65.319999999999993</v>
      </c>
      <c r="N16" s="14">
        <v>65.010000000000005</v>
      </c>
    </row>
    <row r="17" spans="6:14" x14ac:dyDescent="0.3">
      <c r="F17" s="14">
        <v>11</v>
      </c>
      <c r="G17" s="14">
        <v>89.8</v>
      </c>
      <c r="H17" s="14">
        <v>88.1</v>
      </c>
      <c r="I17" s="14">
        <v>90.6</v>
      </c>
      <c r="J17" s="20">
        <v>89.2</v>
      </c>
      <c r="K17" s="14">
        <v>64.97</v>
      </c>
      <c r="L17" s="14">
        <v>64.290000000000006</v>
      </c>
      <c r="M17" s="14">
        <v>64.78</v>
      </c>
      <c r="N17" s="14">
        <v>64.42</v>
      </c>
    </row>
    <row r="18" spans="6:14" x14ac:dyDescent="0.3">
      <c r="F18" s="14">
        <v>12</v>
      </c>
      <c r="G18" s="14">
        <v>81.599999999999994</v>
      </c>
      <c r="H18" s="14">
        <v>79.900000000000006</v>
      </c>
      <c r="I18" s="14">
        <v>81.900000000000006</v>
      </c>
      <c r="J18" s="20">
        <v>80.5</v>
      </c>
      <c r="K18" s="14">
        <v>64.239999999999995</v>
      </c>
      <c r="L18" s="14">
        <v>63.48</v>
      </c>
      <c r="M18" s="14">
        <v>63.97</v>
      </c>
      <c r="N18" s="14">
        <v>63.62</v>
      </c>
    </row>
    <row r="19" spans="6:14" x14ac:dyDescent="0.3">
      <c r="F19" s="14">
        <v>13</v>
      </c>
      <c r="G19" s="14">
        <v>76.7</v>
      </c>
      <c r="H19" s="14">
        <v>74.900000000000006</v>
      </c>
      <c r="I19" s="14">
        <v>78.599999999999994</v>
      </c>
      <c r="J19" s="20">
        <v>77.599999999999994</v>
      </c>
      <c r="K19" s="14">
        <v>63.51</v>
      </c>
      <c r="L19" s="14">
        <v>62.63</v>
      </c>
      <c r="M19" s="14">
        <v>63.56</v>
      </c>
      <c r="N19" s="14">
        <v>63.04</v>
      </c>
    </row>
    <row r="20" spans="6:14" x14ac:dyDescent="0.3">
      <c r="F20" s="14">
        <v>14</v>
      </c>
      <c r="G20" s="14">
        <v>73</v>
      </c>
      <c r="H20" s="14">
        <v>71.2</v>
      </c>
      <c r="I20" s="14">
        <v>73.7</v>
      </c>
      <c r="J20" s="20">
        <v>72.2</v>
      </c>
      <c r="K20" s="14">
        <v>62.78</v>
      </c>
      <c r="L20" s="14">
        <v>61.84</v>
      </c>
      <c r="M20" s="14">
        <v>62.98</v>
      </c>
      <c r="N20" s="14">
        <v>62.01</v>
      </c>
    </row>
    <row r="21" spans="6:14" x14ac:dyDescent="0.3">
      <c r="F21" s="14">
        <v>15</v>
      </c>
      <c r="G21" s="14">
        <v>82.8</v>
      </c>
      <c r="H21" s="14">
        <v>81</v>
      </c>
      <c r="I21" s="14">
        <v>82.1</v>
      </c>
      <c r="J21" s="20">
        <v>80.900000000000006</v>
      </c>
      <c r="K21" s="14">
        <v>62.05</v>
      </c>
      <c r="L21" s="14">
        <v>61.21</v>
      </c>
      <c r="M21" s="14">
        <v>61.87</v>
      </c>
      <c r="N21" s="14">
        <v>61.49</v>
      </c>
    </row>
    <row r="22" spans="6:14" x14ac:dyDescent="0.3">
      <c r="F22" s="14">
        <v>16</v>
      </c>
      <c r="G22" s="14">
        <v>79.2</v>
      </c>
      <c r="H22" s="14">
        <v>77.599999999999994</v>
      </c>
      <c r="I22" s="14">
        <v>79.900000000000006</v>
      </c>
      <c r="J22" s="20">
        <v>78.599999999999994</v>
      </c>
      <c r="K22" s="14">
        <v>61.32</v>
      </c>
      <c r="L22" s="14">
        <v>60.52</v>
      </c>
      <c r="M22" s="14">
        <v>61.11</v>
      </c>
      <c r="N22" s="14">
        <v>60.68</v>
      </c>
    </row>
    <row r="23" spans="6:14" x14ac:dyDescent="0.3">
      <c r="F23" s="14">
        <v>17</v>
      </c>
      <c r="G23" s="14">
        <v>83.7</v>
      </c>
      <c r="H23" s="14">
        <v>82.1</v>
      </c>
      <c r="I23" s="14">
        <v>83.7</v>
      </c>
      <c r="J23" s="20">
        <v>82.6</v>
      </c>
      <c r="K23" s="14">
        <v>60.59</v>
      </c>
      <c r="L23" s="14">
        <v>59.82</v>
      </c>
      <c r="M23" s="14">
        <v>60.67</v>
      </c>
      <c r="N23" s="14">
        <v>60.07</v>
      </c>
    </row>
    <row r="24" spans="6:14" x14ac:dyDescent="0.3">
      <c r="F24" s="14">
        <v>18</v>
      </c>
      <c r="G24" s="14">
        <v>76.8</v>
      </c>
      <c r="H24" s="14">
        <v>75.2</v>
      </c>
      <c r="I24" s="14">
        <v>76.900000000000006</v>
      </c>
      <c r="J24" s="20">
        <v>75.8</v>
      </c>
      <c r="K24" s="14">
        <v>59.860000000000007</v>
      </c>
      <c r="L24" s="14">
        <v>59.01</v>
      </c>
      <c r="M24" s="14">
        <v>59.8</v>
      </c>
      <c r="N24" s="14">
        <v>59.28</v>
      </c>
    </row>
    <row r="25" spans="6:14" x14ac:dyDescent="0.3">
      <c r="F25" s="14">
        <v>19</v>
      </c>
      <c r="G25" s="14">
        <v>77.8</v>
      </c>
      <c r="H25" s="14">
        <v>76</v>
      </c>
      <c r="I25" s="14">
        <v>78.599999999999994</v>
      </c>
      <c r="J25" s="20">
        <v>77.2</v>
      </c>
      <c r="K25" s="14">
        <v>59.13</v>
      </c>
      <c r="L25" s="14">
        <v>58.16</v>
      </c>
      <c r="M25" s="14">
        <v>59.54</v>
      </c>
      <c r="N25" s="14">
        <v>58.39</v>
      </c>
    </row>
    <row r="26" spans="6:14" x14ac:dyDescent="0.3">
      <c r="F26" s="14">
        <v>20</v>
      </c>
      <c r="G26" s="14">
        <v>79.099999999999994</v>
      </c>
      <c r="H26" s="14">
        <v>77.2</v>
      </c>
      <c r="I26" s="14">
        <v>79.900000000000006</v>
      </c>
      <c r="J26" s="20">
        <v>78.7</v>
      </c>
      <c r="K26" s="14">
        <v>58.400000000000013</v>
      </c>
      <c r="L26" s="14">
        <v>57.38</v>
      </c>
      <c r="M26" s="14">
        <v>58.63</v>
      </c>
      <c r="N26" s="14">
        <v>57.77</v>
      </c>
    </row>
    <row r="27" spans="6:14" ht="15" thickBot="1" x14ac:dyDescent="0.35">
      <c r="F27" s="16">
        <v>21</v>
      </c>
      <c r="G27" s="13">
        <v>82.3</v>
      </c>
      <c r="H27" s="13">
        <v>80.400000000000006</v>
      </c>
      <c r="I27" s="13">
        <v>84.1</v>
      </c>
      <c r="J27" s="21">
        <v>82.6</v>
      </c>
      <c r="K27" s="13">
        <v>57.67</v>
      </c>
      <c r="L27" s="13">
        <v>56.67</v>
      </c>
      <c r="M27" s="13">
        <v>57.43</v>
      </c>
      <c r="N27" s="13">
        <v>56.9</v>
      </c>
    </row>
    <row r="28" spans="6:14" ht="15" thickBot="1" x14ac:dyDescent="0.35">
      <c r="F28" s="13" t="s">
        <v>14</v>
      </c>
      <c r="G28" s="13">
        <f t="shared" ref="G28:N28" si="0">AVERAGE(G7:G27)</f>
        <v>81.271428571428558</v>
      </c>
      <c r="H28" s="13">
        <f>AVERAGE(H7:H27)</f>
        <v>79.523809523809518</v>
      </c>
      <c r="I28" s="13">
        <f t="shared" si="0"/>
        <v>81.771428571428572</v>
      </c>
      <c r="J28" s="21">
        <f t="shared" si="0"/>
        <v>80.452380952380949</v>
      </c>
      <c r="K28" s="13">
        <f t="shared" si="0"/>
        <v>64.97</v>
      </c>
      <c r="L28" s="13">
        <f t="shared" si="0"/>
        <v>64.191428571428588</v>
      </c>
      <c r="M28" s="13">
        <f t="shared" si="0"/>
        <v>64.834761904761919</v>
      </c>
      <c r="N28" s="13">
        <f t="shared" si="0"/>
        <v>64.394761904761907</v>
      </c>
    </row>
    <row r="29" spans="6:14" ht="15" thickBot="1" x14ac:dyDescent="0.35">
      <c r="F29" s="13" t="s">
        <v>18</v>
      </c>
      <c r="G29" s="13">
        <f t="shared" ref="G29:N29" si="1">MEDIAN(G7:G27)</f>
        <v>81</v>
      </c>
      <c r="H29" s="13">
        <f t="shared" si="1"/>
        <v>79.099999999999994</v>
      </c>
      <c r="I29" s="13">
        <f t="shared" si="1"/>
        <v>81.400000000000006</v>
      </c>
      <c r="J29" s="21">
        <f t="shared" si="1"/>
        <v>80</v>
      </c>
      <c r="K29" s="13">
        <f t="shared" si="1"/>
        <v>64.97</v>
      </c>
      <c r="L29" s="13">
        <f t="shared" si="1"/>
        <v>64.290000000000006</v>
      </c>
      <c r="M29" s="13">
        <f t="shared" si="1"/>
        <v>64.78</v>
      </c>
      <c r="N29" s="13">
        <f t="shared" si="1"/>
        <v>64.42</v>
      </c>
    </row>
    <row r="30" spans="6:14" ht="15" thickBot="1" x14ac:dyDescent="0.35">
      <c r="F30" s="13" t="s">
        <v>15</v>
      </c>
      <c r="G30" s="13">
        <f t="shared" ref="G30:N30" si="2">STDEV(G7:G27)</f>
        <v>6.2198185550016509</v>
      </c>
      <c r="H30" s="13">
        <f t="shared" si="2"/>
        <v>6.2719139632096956</v>
      </c>
      <c r="I30" s="13">
        <f t="shared" si="2"/>
        <v>6.0855684087144102</v>
      </c>
      <c r="J30" s="21">
        <f t="shared" si="2"/>
        <v>6.0491833372463644</v>
      </c>
      <c r="K30" s="13">
        <f t="shared" si="2"/>
        <v>4.5295308807866599</v>
      </c>
      <c r="L30" s="13">
        <f t="shared" si="2"/>
        <v>4.651761263988389</v>
      </c>
      <c r="M30" s="13">
        <f t="shared" si="2"/>
        <v>4.3936381496973773</v>
      </c>
      <c r="N30" s="13">
        <f t="shared" si="2"/>
        <v>4.6017264358581986</v>
      </c>
    </row>
    <row r="31" spans="6:14" ht="15" thickBot="1" x14ac:dyDescent="0.35">
      <c r="F31" s="13" t="s">
        <v>16</v>
      </c>
      <c r="G31" s="13">
        <f t="shared" ref="G31:N31" si="3">MIN(G7:G27)</f>
        <v>70.3</v>
      </c>
      <c r="H31" s="13">
        <f t="shared" si="3"/>
        <v>68.3</v>
      </c>
      <c r="I31" s="13">
        <f t="shared" si="3"/>
        <v>70.8</v>
      </c>
      <c r="J31" s="21">
        <f t="shared" si="3"/>
        <v>69.7</v>
      </c>
      <c r="K31" s="13">
        <f t="shared" si="3"/>
        <v>57.67</v>
      </c>
      <c r="L31" s="13">
        <f t="shared" si="3"/>
        <v>56.67</v>
      </c>
      <c r="M31" s="13">
        <f t="shared" si="3"/>
        <v>57.43</v>
      </c>
      <c r="N31" s="13">
        <f t="shared" si="3"/>
        <v>56.9</v>
      </c>
    </row>
    <row r="32" spans="6:14" ht="15" thickBot="1" x14ac:dyDescent="0.35">
      <c r="F32" s="13" t="s">
        <v>17</v>
      </c>
      <c r="G32" s="13">
        <f t="shared" ref="G32:N32" si="4">MAX(G7:G27)</f>
        <v>92.6</v>
      </c>
      <c r="H32" s="13">
        <f t="shared" si="4"/>
        <v>91.1</v>
      </c>
      <c r="I32" s="13">
        <f t="shared" si="4"/>
        <v>94.1</v>
      </c>
      <c r="J32" s="22">
        <f t="shared" si="4"/>
        <v>92.9</v>
      </c>
      <c r="K32" s="13">
        <f t="shared" si="4"/>
        <v>72.27</v>
      </c>
      <c r="L32" s="13">
        <f t="shared" si="4"/>
        <v>71.63</v>
      </c>
      <c r="M32" s="13">
        <f t="shared" si="4"/>
        <v>71.78</v>
      </c>
      <c r="N32" s="13">
        <f t="shared" si="4"/>
        <v>71.760000000000005</v>
      </c>
    </row>
    <row r="33" spans="6:14" ht="15" thickBot="1" x14ac:dyDescent="0.35">
      <c r="F33" s="13" t="s">
        <v>20</v>
      </c>
      <c r="G33" s="65">
        <f>H28-G28</f>
        <v>-1.7476190476190396</v>
      </c>
      <c r="H33" s="65"/>
      <c r="I33" s="65">
        <f>J28-I28</f>
        <v>-1.3190476190476232</v>
      </c>
      <c r="J33" s="66"/>
      <c r="K33" s="65">
        <f>L28-K28</f>
        <v>-0.77857142857141071</v>
      </c>
      <c r="L33" s="65"/>
      <c r="M33" s="65">
        <f>N28-M28</f>
        <v>-0.44000000000001194</v>
      </c>
      <c r="N33" s="65"/>
    </row>
  </sheetData>
  <mergeCells count="6">
    <mergeCell ref="G5:J5"/>
    <mergeCell ref="K5:N5"/>
    <mergeCell ref="G33:H33"/>
    <mergeCell ref="I33:J33"/>
    <mergeCell ref="K33:L33"/>
    <mergeCell ref="M33:N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9CC4-64A3-4C07-85B1-43EF20AD35EF}">
  <dimension ref="A1:D187"/>
  <sheetViews>
    <sheetView workbookViewId="0">
      <selection activeCell="H85" sqref="H85"/>
    </sheetView>
  </sheetViews>
  <sheetFormatPr baseColWidth="10" defaultRowHeight="14.4" x14ac:dyDescent="0.3"/>
  <cols>
    <col min="1" max="1" width="8.44140625" style="81" bestFit="1" customWidth="1"/>
    <col min="2" max="2" width="19.88671875" bestFit="1" customWidth="1"/>
    <col min="3" max="3" width="18.21875" bestFit="1" customWidth="1"/>
    <col min="4" max="4" width="29.6640625" bestFit="1" customWidth="1"/>
  </cols>
  <sheetData>
    <row r="1" spans="1:4" x14ac:dyDescent="0.3">
      <c r="A1" s="81" t="s">
        <v>147</v>
      </c>
      <c r="B1" t="s">
        <v>148</v>
      </c>
      <c r="C1" t="s">
        <v>149</v>
      </c>
      <c r="D1" t="s">
        <v>150</v>
      </c>
    </row>
    <row r="2" spans="1:4" x14ac:dyDescent="0.3">
      <c r="A2" s="81">
        <v>0.35833333333333101</v>
      </c>
      <c r="B2">
        <v>36.785156259734954</v>
      </c>
      <c r="C2">
        <v>36.51</v>
      </c>
      <c r="D2">
        <v>36.570033430000002</v>
      </c>
    </row>
    <row r="3" spans="1:4" x14ac:dyDescent="0.3">
      <c r="A3" s="81">
        <v>0.36388888888888699</v>
      </c>
      <c r="B3">
        <v>36.799951006484115</v>
      </c>
      <c r="C3">
        <v>36.511209999999998</v>
      </c>
      <c r="D3">
        <v>36.570988700000001</v>
      </c>
    </row>
    <row r="4" spans="1:4" x14ac:dyDescent="0.3">
      <c r="A4" s="81">
        <v>0.36944444444444302</v>
      </c>
      <c r="B4">
        <v>36.815021135212611</v>
      </c>
      <c r="C4">
        <v>36.521186999999998</v>
      </c>
      <c r="D4">
        <v>36.572299999999998</v>
      </c>
    </row>
    <row r="5" spans="1:4" x14ac:dyDescent="0.3">
      <c r="A5" s="81">
        <v>0.374999999999999</v>
      </c>
      <c r="B5">
        <v>36.830348285283861</v>
      </c>
      <c r="C5">
        <v>36.5342232</v>
      </c>
      <c r="D5">
        <v>36.54</v>
      </c>
    </row>
    <row r="6" spans="1:4" x14ac:dyDescent="0.3">
      <c r="A6" s="81">
        <v>0.38055555555555487</v>
      </c>
      <c r="B6">
        <v>36.845913782920277</v>
      </c>
      <c r="C6">
        <v>36.538870000000003</v>
      </c>
      <c r="D6">
        <v>36.763555555555499</v>
      </c>
    </row>
    <row r="7" spans="1:4" x14ac:dyDescent="0.3">
      <c r="A7" s="81">
        <v>0.38611111111111085</v>
      </c>
      <c r="B7">
        <v>36.861698663954364</v>
      </c>
      <c r="C7">
        <v>36.553339999999999</v>
      </c>
      <c r="D7">
        <v>37.028509259259003</v>
      </c>
    </row>
    <row r="8" spans="1:4" x14ac:dyDescent="0.3">
      <c r="A8" s="81">
        <v>0.39166666666666594</v>
      </c>
      <c r="B8">
        <v>36.87768369693368</v>
      </c>
      <c r="C8">
        <v>36.612209999999997</v>
      </c>
      <c r="D8">
        <v>37.187685185185202</v>
      </c>
    </row>
    <row r="9" spans="1:4" x14ac:dyDescent="0.3">
      <c r="A9" s="81">
        <v>0.39722222222222192</v>
      </c>
      <c r="B9">
        <v>36.893849406551375</v>
      </c>
      <c r="C9">
        <v>36.722320000000003</v>
      </c>
      <c r="D9">
        <v>37.495833333333302</v>
      </c>
    </row>
    <row r="10" spans="1:4" x14ac:dyDescent="0.3">
      <c r="A10" s="81">
        <v>0.4027777777777769</v>
      </c>
      <c r="B10">
        <v>36.910176097373878</v>
      </c>
      <c r="C10">
        <v>36.694299999999998</v>
      </c>
      <c r="D10">
        <v>37.643981481481482</v>
      </c>
    </row>
    <row r="11" spans="1:4" x14ac:dyDescent="0.3">
      <c r="A11" s="81">
        <v>0.40833333333333288</v>
      </c>
      <c r="B11">
        <v>36.926643877836746</v>
      </c>
      <c r="C11">
        <v>36.79645</v>
      </c>
      <c r="D11">
        <v>37.808796296296293</v>
      </c>
    </row>
    <row r="12" spans="1:4" x14ac:dyDescent="0.3">
      <c r="A12" s="81">
        <v>0.41388888888888886</v>
      </c>
      <c r="B12">
        <v>36.943232684479497</v>
      </c>
      <c r="C12">
        <v>36.911999999999999</v>
      </c>
      <c r="D12">
        <v>37.94</v>
      </c>
    </row>
    <row r="13" spans="1:4" x14ac:dyDescent="0.3">
      <c r="A13" s="81">
        <v>0.41944444444444384</v>
      </c>
      <c r="B13">
        <v>36.959922306389828</v>
      </c>
      <c r="C13">
        <v>36.932445000000001</v>
      </c>
      <c r="D13">
        <v>38.124453299999999</v>
      </c>
    </row>
    <row r="14" spans="1:4" x14ac:dyDescent="0.3">
      <c r="A14" s="81">
        <v>0.42499999999999993</v>
      </c>
      <c r="B14">
        <v>36.976692409827542</v>
      </c>
      <c r="C14">
        <v>36.875999999999998</v>
      </c>
      <c r="D14">
        <v>38.128874000000003</v>
      </c>
    </row>
    <row r="15" spans="1:4" x14ac:dyDescent="0.3">
      <c r="A15" s="81">
        <v>0.43055555555555491</v>
      </c>
      <c r="B15">
        <v>36.993522562998038</v>
      </c>
      <c r="C15">
        <v>36.89</v>
      </c>
      <c r="D15">
        <v>38.107770000000002</v>
      </c>
    </row>
    <row r="16" spans="1:4" x14ac:dyDescent="0.3">
      <c r="A16" s="81">
        <v>0.43611111111111089</v>
      </c>
      <c r="B16">
        <v>37.010392260945366</v>
      </c>
      <c r="C16">
        <v>36.899700000000003</v>
      </c>
      <c r="D16">
        <v>38.08775</v>
      </c>
    </row>
    <row r="17" spans="1:4" x14ac:dyDescent="0.3">
      <c r="A17" s="81">
        <v>0.44166666666666587</v>
      </c>
      <c r="B17">
        <v>37.027280950534326</v>
      </c>
      <c r="C17">
        <v>37.000121100000001</v>
      </c>
      <c r="D17">
        <v>37.880000000000003</v>
      </c>
    </row>
    <row r="18" spans="1:4" x14ac:dyDescent="0.3">
      <c r="A18" s="81">
        <v>0.44722222222222185</v>
      </c>
      <c r="B18">
        <v>37.044168055491326</v>
      </c>
      <c r="C18">
        <v>37.063333333333333</v>
      </c>
      <c r="D18">
        <v>37.861111111111001</v>
      </c>
    </row>
    <row r="19" spans="1:4" x14ac:dyDescent="0.3">
      <c r="A19" s="81">
        <v>0.45277777777777783</v>
      </c>
      <c r="B19">
        <v>37.061033001473398</v>
      </c>
      <c r="C19">
        <v>36.936666666666675</v>
      </c>
      <c r="D19">
        <v>37.886111111111113</v>
      </c>
    </row>
    <row r="20" spans="1:4" x14ac:dyDescent="0.3">
      <c r="A20" s="81">
        <v>0.45833333333333293</v>
      </c>
      <c r="B20">
        <v>37.077855241134898</v>
      </c>
      <c r="C20">
        <v>36.928879999999999</v>
      </c>
      <c r="D20">
        <v>37.785555555555554</v>
      </c>
    </row>
    <row r="21" spans="1:4" x14ac:dyDescent="0.3">
      <c r="A21" s="81">
        <v>0.46388888888888891</v>
      </c>
      <c r="B21">
        <v>37.094614279161256</v>
      </c>
      <c r="C21">
        <v>36.909999999999997</v>
      </c>
      <c r="D21">
        <v>37.770000000000003</v>
      </c>
    </row>
    <row r="22" spans="1:4" x14ac:dyDescent="0.3">
      <c r="A22" s="81">
        <v>0.46944444444444389</v>
      </c>
      <c r="B22">
        <v>37.111289697239378</v>
      </c>
      <c r="C22">
        <v>36.900010000000002</v>
      </c>
      <c r="D22">
        <v>37.765000000000001</v>
      </c>
    </row>
    <row r="23" spans="1:4" x14ac:dyDescent="0.3">
      <c r="A23" s="81">
        <v>0.47499999999999987</v>
      </c>
      <c r="B23">
        <v>37.127861178934261</v>
      </c>
      <c r="C23">
        <v>36.89667</v>
      </c>
      <c r="D23">
        <v>37.630000000000003</v>
      </c>
    </row>
    <row r="24" spans="1:4" x14ac:dyDescent="0.3">
      <c r="A24" s="81">
        <v>0.48055555555555485</v>
      </c>
      <c r="B24">
        <v>37.144308534441379</v>
      </c>
      <c r="C24">
        <v>36.893329999999999</v>
      </c>
      <c r="D24">
        <v>37.573333333333331</v>
      </c>
    </row>
    <row r="25" spans="1:4" x14ac:dyDescent="0.3">
      <c r="A25" s="81">
        <v>0.48611111111111094</v>
      </c>
      <c r="B25">
        <v>37.160611725184928</v>
      </c>
      <c r="C25">
        <v>36.832777777777778</v>
      </c>
      <c r="D25">
        <v>37.516666666666701</v>
      </c>
    </row>
    <row r="26" spans="1:4" x14ac:dyDescent="0.3">
      <c r="A26" s="81">
        <v>0.49166666666666592</v>
      </c>
      <c r="B26">
        <v>37.176750888231695</v>
      </c>
      <c r="C26">
        <v>36.84148148148148</v>
      </c>
      <c r="D26">
        <v>37.46</v>
      </c>
    </row>
    <row r="27" spans="1:4" x14ac:dyDescent="0.3">
      <c r="A27" s="81">
        <v>0.4972222222222219</v>
      </c>
      <c r="B27">
        <v>37.192706360491037</v>
      </c>
      <c r="C27">
        <v>36.802777777777997</v>
      </c>
      <c r="D27">
        <v>37.479999999999997</v>
      </c>
    </row>
    <row r="28" spans="1:4" x14ac:dyDescent="0.3">
      <c r="A28" s="81">
        <v>0.50277777777777788</v>
      </c>
      <c r="B28">
        <v>37.208458702671287</v>
      </c>
      <c r="C28">
        <v>36.925925925926002</v>
      </c>
      <c r="D28">
        <v>37.424259259259301</v>
      </c>
    </row>
    <row r="29" spans="1:4" x14ac:dyDescent="0.3">
      <c r="A29" s="81">
        <v>0.50833333333333286</v>
      </c>
      <c r="B29">
        <v>37.223988722963604</v>
      </c>
      <c r="C29">
        <v>37.004907407407408</v>
      </c>
      <c r="D29">
        <v>37.383333333333333</v>
      </c>
    </row>
    <row r="30" spans="1:4" x14ac:dyDescent="0.3">
      <c r="A30" s="81">
        <v>0.51388888888888884</v>
      </c>
      <c r="B30">
        <v>37.239277500424194</v>
      </c>
      <c r="C30">
        <v>36.952388888888891</v>
      </c>
      <c r="D30">
        <v>37.342407407407407</v>
      </c>
    </row>
    <row r="31" spans="1:4" x14ac:dyDescent="0.3">
      <c r="A31" s="81">
        <v>0.51944444444444393</v>
      </c>
      <c r="B31">
        <v>37.254306408026586</v>
      </c>
      <c r="C31">
        <v>36.899870370370401</v>
      </c>
      <c r="D31">
        <v>37.301481481481403</v>
      </c>
    </row>
    <row r="32" spans="1:4" x14ac:dyDescent="0.3">
      <c r="A32" s="81">
        <v>0.52499999999999991</v>
      </c>
      <c r="B32">
        <v>37.26171767564589</v>
      </c>
      <c r="C32">
        <v>36.935351851851856</v>
      </c>
      <c r="D32">
        <v>37.260555555555399</v>
      </c>
    </row>
    <row r="33" spans="1:4" x14ac:dyDescent="0.3">
      <c r="A33" s="81">
        <v>0.53055555555555489</v>
      </c>
      <c r="B33">
        <v>37.269057135355808</v>
      </c>
      <c r="C33">
        <v>36.940148148148097</v>
      </c>
      <c r="D33">
        <v>37.219629629629502</v>
      </c>
    </row>
    <row r="34" spans="1:4" x14ac:dyDescent="0.3">
      <c r="A34" s="81">
        <v>0.53611111111111087</v>
      </c>
      <c r="B34">
        <v>37.283511710916834</v>
      </c>
      <c r="C34">
        <v>36.93266666666667</v>
      </c>
      <c r="D34">
        <v>37.130185185185184</v>
      </c>
    </row>
    <row r="35" spans="1:4" x14ac:dyDescent="0.3">
      <c r="A35" s="81">
        <v>0.53888888888888886</v>
      </c>
      <c r="B35">
        <v>37.297652524030035</v>
      </c>
      <c r="C35">
        <v>36.925185185185192</v>
      </c>
      <c r="D35">
        <v>37.105925925925924</v>
      </c>
    </row>
    <row r="36" spans="1:4" x14ac:dyDescent="0.3">
      <c r="A36" s="81">
        <v>0.54166666666666585</v>
      </c>
      <c r="B36">
        <v>37.311462346287151</v>
      </c>
      <c r="C36">
        <v>36.96685185185185</v>
      </c>
      <c r="D36">
        <v>37.131666666666675</v>
      </c>
    </row>
    <row r="37" spans="1:4" x14ac:dyDescent="0.3">
      <c r="A37" s="81">
        <v>0.54722222222222183</v>
      </c>
      <c r="B37">
        <v>37.324924352541409</v>
      </c>
      <c r="C37">
        <v>37.044444444444501</v>
      </c>
      <c r="D37">
        <v>37.086574074074079</v>
      </c>
    </row>
    <row r="38" spans="1:4" x14ac:dyDescent="0.3">
      <c r="A38" s="81">
        <v>0.55277777777777881</v>
      </c>
      <c r="B38">
        <v>37.338022141406398</v>
      </c>
      <c r="C38">
        <v>37.048518518518527</v>
      </c>
      <c r="D38">
        <v>37.041481481481497</v>
      </c>
    </row>
    <row r="39" spans="1:4" x14ac:dyDescent="0.3">
      <c r="A39" s="81">
        <v>0.5583333333333329</v>
      </c>
      <c r="B39">
        <v>37.350739755238664</v>
      </c>
      <c r="C39">
        <v>37.052592592592596</v>
      </c>
      <c r="D39">
        <v>37.06481481481481</v>
      </c>
    </row>
    <row r="40" spans="1:4" x14ac:dyDescent="0.3">
      <c r="A40" s="81">
        <v>0.56388888888888888</v>
      </c>
      <c r="B40">
        <v>37.363061699579589</v>
      </c>
      <c r="C40">
        <v>37.062962962962963</v>
      </c>
      <c r="D40">
        <v>37.070648148148145</v>
      </c>
    </row>
    <row r="41" spans="1:4" x14ac:dyDescent="0.3">
      <c r="A41" s="81">
        <v>0.56944444444444386</v>
      </c>
      <c r="B41">
        <v>37.37497296203307</v>
      </c>
      <c r="C41">
        <v>37.084444444444443</v>
      </c>
      <c r="D41">
        <v>37.077962962962964</v>
      </c>
    </row>
    <row r="42" spans="1:4" x14ac:dyDescent="0.3">
      <c r="A42" s="81">
        <v>0.57500000000000084</v>
      </c>
      <c r="B42">
        <v>37.386459030555777</v>
      </c>
      <c r="C42">
        <v>37.122851851851856</v>
      </c>
      <c r="D42">
        <v>37.023148148148152</v>
      </c>
    </row>
    <row r="43" spans="1:4" x14ac:dyDescent="0.3">
      <c r="A43" s="81">
        <v>0.58055555555555582</v>
      </c>
      <c r="B43">
        <v>37.397505911137856</v>
      </c>
      <c r="C43">
        <v>37.161259259259303</v>
      </c>
      <c r="D43">
        <v>36.968333333333298</v>
      </c>
    </row>
    <row r="44" spans="1:4" x14ac:dyDescent="0.3">
      <c r="A44" s="81">
        <v>0.58611111111111092</v>
      </c>
      <c r="B44">
        <v>37.408100144852497</v>
      </c>
      <c r="C44">
        <v>37.213777777777779</v>
      </c>
      <c r="D44">
        <v>37.102592592592586</v>
      </c>
    </row>
    <row r="45" spans="1:4" x14ac:dyDescent="0.3">
      <c r="A45" s="81">
        <v>0.5916666666666659</v>
      </c>
      <c r="B45">
        <v>37.418228824253546</v>
      </c>
      <c r="C45">
        <v>37.324666666666666</v>
      </c>
      <c r="D45">
        <v>37.132592592592587</v>
      </c>
    </row>
    <row r="46" spans="1:4" x14ac:dyDescent="0.3">
      <c r="A46" s="81">
        <v>0.59722222222222188</v>
      </c>
      <c r="B46">
        <v>37.427879609101261</v>
      </c>
      <c r="C46">
        <v>37.471333333333334</v>
      </c>
      <c r="D46">
        <v>37.130092592592582</v>
      </c>
    </row>
    <row r="47" spans="1:4" x14ac:dyDescent="0.3">
      <c r="A47" s="81">
        <v>0.60277777777777786</v>
      </c>
      <c r="B47">
        <v>37.437040741396984</v>
      </c>
      <c r="C47">
        <v>37.559777777777782</v>
      </c>
      <c r="D47">
        <v>37.12361111111111</v>
      </c>
    </row>
    <row r="48" spans="1:4" x14ac:dyDescent="0.3">
      <c r="A48" s="81">
        <v>0.60833333333333384</v>
      </c>
      <c r="B48">
        <v>37.445701059708476</v>
      </c>
      <c r="C48">
        <v>37.648222222222202</v>
      </c>
      <c r="D48">
        <v>37.117129629629602</v>
      </c>
    </row>
    <row r="49" spans="1:4" x14ac:dyDescent="0.3">
      <c r="A49" s="81">
        <v>0.61388888888888982</v>
      </c>
      <c r="B49">
        <v>37.453850012768399</v>
      </c>
      <c r="C49">
        <v>37.572000000000003</v>
      </c>
      <c r="D49">
        <v>37.135925925925925</v>
      </c>
    </row>
    <row r="50" spans="1:4" x14ac:dyDescent="0.3">
      <c r="A50" s="81">
        <v>0.61944444444444391</v>
      </c>
      <c r="B50">
        <v>37.461477672329387</v>
      </c>
      <c r="C50">
        <v>37.519777777777776</v>
      </c>
      <c r="D50">
        <v>37.134</v>
      </c>
    </row>
    <row r="51" spans="1:4" x14ac:dyDescent="0.3">
      <c r="A51" s="81">
        <v>0.62499999999999989</v>
      </c>
      <c r="B51">
        <v>37.468574745260142</v>
      </c>
      <c r="C51">
        <v>37.521296296296299</v>
      </c>
      <c r="D51">
        <v>37.131666666666675</v>
      </c>
    </row>
    <row r="52" spans="1:4" x14ac:dyDescent="0.3">
      <c r="A52" s="81">
        <v>0.63055555555555487</v>
      </c>
      <c r="B52">
        <v>37.475132584867637</v>
      </c>
      <c r="C52">
        <v>37.596481481481476</v>
      </c>
      <c r="D52">
        <v>37.096666666666664</v>
      </c>
    </row>
    <row r="53" spans="1:4" x14ac:dyDescent="0.3">
      <c r="A53" s="81">
        <v>0.63611111111111085</v>
      </c>
      <c r="B53">
        <v>37.481143201431827</v>
      </c>
      <c r="C53">
        <v>37.671666666666702</v>
      </c>
      <c r="D53">
        <v>37.084166666666668</v>
      </c>
    </row>
    <row r="54" spans="1:4" x14ac:dyDescent="0.3">
      <c r="A54" s="81">
        <v>0.64166666666666683</v>
      </c>
      <c r="B54">
        <v>37.486599271939852</v>
      </c>
      <c r="C54">
        <v>37.721481481481483</v>
      </c>
      <c r="D54">
        <v>37.067592592592597</v>
      </c>
    </row>
    <row r="55" spans="1:4" x14ac:dyDescent="0.3">
      <c r="A55" s="81">
        <v>0.64722222222222281</v>
      </c>
      <c r="B55">
        <v>37.491494149008041</v>
      </c>
      <c r="C55">
        <v>37.810370370370364</v>
      </c>
      <c r="D55">
        <v>37.111851851851853</v>
      </c>
    </row>
    <row r="56" spans="1:4" x14ac:dyDescent="0.3">
      <c r="A56" s="81">
        <v>0.6527777777777779</v>
      </c>
      <c r="B56">
        <v>37.495821868980698</v>
      </c>
      <c r="C56">
        <v>37.828518518518521</v>
      </c>
      <c r="D56">
        <v>37.118000000000002</v>
      </c>
    </row>
    <row r="57" spans="1:4" x14ac:dyDescent="0.3">
      <c r="A57" s="81">
        <v>0.65833333333333288</v>
      </c>
      <c r="B57">
        <v>37.49957715919593</v>
      </c>
      <c r="C57">
        <v>37.765074074074079</v>
      </c>
      <c r="D57">
        <v>37.121944444444445</v>
      </c>
    </row>
    <row r="58" spans="1:4" x14ac:dyDescent="0.3">
      <c r="A58" s="81">
        <v>0.66388888888888886</v>
      </c>
      <c r="B58">
        <v>37.50275544440953</v>
      </c>
      <c r="C58">
        <v>37.701629629629601</v>
      </c>
      <c r="D58">
        <v>37.101296296296304</v>
      </c>
    </row>
    <row r="59" spans="1:4" x14ac:dyDescent="0.3">
      <c r="A59" s="81">
        <v>0.66944444444444484</v>
      </c>
      <c r="B59">
        <v>37.505352852369278</v>
      </c>
      <c r="C59">
        <v>37.700740740740748</v>
      </c>
      <c r="D59">
        <v>37.14</v>
      </c>
    </row>
    <row r="60" spans="1:4" x14ac:dyDescent="0.3">
      <c r="A60" s="81">
        <v>0.67500000000000082</v>
      </c>
      <c r="B60">
        <v>37.50736621853261</v>
      </c>
      <c r="C60">
        <v>37.572407407407404</v>
      </c>
      <c r="D60">
        <v>37.157037037037036</v>
      </c>
    </row>
    <row r="61" spans="1:4" x14ac:dyDescent="0.3">
      <c r="A61" s="81">
        <v>0.68055555555555491</v>
      </c>
      <c r="B61">
        <v>37.508793089922179</v>
      </c>
      <c r="C61">
        <v>37.468888888888884</v>
      </c>
      <c r="D61">
        <v>37.15018518518518</v>
      </c>
    </row>
    <row r="62" spans="1:4" x14ac:dyDescent="0.3">
      <c r="A62" s="81">
        <v>0.68611111111111089</v>
      </c>
      <c r="B62">
        <v>37.509631728114421</v>
      </c>
      <c r="C62">
        <v>37.3653703703704</v>
      </c>
      <c r="D62">
        <v>37.144455000000001</v>
      </c>
    </row>
    <row r="63" spans="1:4" x14ac:dyDescent="0.3">
      <c r="A63" s="81">
        <v>0.69166666666666587</v>
      </c>
      <c r="B63">
        <v>37.509881111357529</v>
      </c>
      <c r="C63">
        <v>37.426111111111112</v>
      </c>
      <c r="D63">
        <v>37.141122000000003</v>
      </c>
    </row>
    <row r="64" spans="1:4" x14ac:dyDescent="0.3">
      <c r="A64" s="81">
        <v>0.69722222222222185</v>
      </c>
      <c r="B64">
        <v>37.509540935816347</v>
      </c>
      <c r="C64">
        <v>37.405555555555544</v>
      </c>
      <c r="D64">
        <v>37.137788999999998</v>
      </c>
    </row>
    <row r="65" spans="1:4" x14ac:dyDescent="0.3">
      <c r="A65" s="81">
        <v>0.70277777777777883</v>
      </c>
      <c r="B65">
        <v>37.508611615942499</v>
      </c>
      <c r="C65">
        <v>37.373148148148147</v>
      </c>
      <c r="D65">
        <v>37.134456</v>
      </c>
    </row>
    <row r="66" spans="1:4" x14ac:dyDescent="0.3">
      <c r="A66" s="81">
        <v>0.70833333333333381</v>
      </c>
      <c r="B66">
        <v>37.507094283969487</v>
      </c>
      <c r="C66">
        <v>37.373888888888899</v>
      </c>
      <c r="D66">
        <v>37.131123000000002</v>
      </c>
    </row>
    <row r="67" spans="1:4" x14ac:dyDescent="0.3">
      <c r="A67" s="81">
        <v>0.71388888888888891</v>
      </c>
      <c r="B67">
        <v>37.504990788533199</v>
      </c>
      <c r="C67">
        <v>37.481111111111112</v>
      </c>
      <c r="D67">
        <v>37.051277900000002</v>
      </c>
    </row>
    <row r="68" spans="1:4" x14ac:dyDescent="0.3">
      <c r="A68" s="81">
        <v>0.71944444444444389</v>
      </c>
      <c r="B68">
        <v>37.502303692419659</v>
      </c>
      <c r="C68">
        <v>37.588333333333303</v>
      </c>
      <c r="D68">
        <v>37.012445700000001</v>
      </c>
    </row>
    <row r="69" spans="1:4" x14ac:dyDescent="0.3">
      <c r="A69" s="81">
        <v>0.72499999999999987</v>
      </c>
      <c r="B69">
        <v>37.499036269442648</v>
      </c>
      <c r="C69">
        <v>37.592037037037045</v>
      </c>
      <c r="D69">
        <v>37.012112399999999</v>
      </c>
    </row>
    <row r="70" spans="1:4" x14ac:dyDescent="0.3">
      <c r="A70" s="81">
        <v>0.73055555555555585</v>
      </c>
      <c r="B70">
        <v>37.495192500455083</v>
      </c>
      <c r="C70">
        <v>37.626666666666665</v>
      </c>
      <c r="D70">
        <v>36.990122220000003</v>
      </c>
    </row>
    <row r="71" spans="1:4" x14ac:dyDescent="0.3">
      <c r="A71" s="81">
        <v>0.73611111111111183</v>
      </c>
      <c r="B71">
        <v>37.49077706849895</v>
      </c>
      <c r="C71">
        <v>37.620555555555562</v>
      </c>
      <c r="D71">
        <v>36.92886</v>
      </c>
    </row>
    <row r="72" spans="1:4" x14ac:dyDescent="0.3">
      <c r="A72" s="81">
        <v>0.74166666666666681</v>
      </c>
      <c r="B72">
        <v>37.485795353099711</v>
      </c>
      <c r="C72">
        <v>37.614444444444501</v>
      </c>
      <c r="D72">
        <v>37.011584266666603</v>
      </c>
    </row>
    <row r="73" spans="1:4" x14ac:dyDescent="0.3">
      <c r="A73" s="81">
        <v>0.7472222222222219</v>
      </c>
      <c r="B73">
        <v>37.480253423712234</v>
      </c>
      <c r="C73">
        <v>37.654259259259263</v>
      </c>
      <c r="D73">
        <v>37.061137251666601</v>
      </c>
    </row>
    <row r="74" spans="1:4" x14ac:dyDescent="0.3">
      <c r="A74" s="81">
        <v>0.75277777777777788</v>
      </c>
      <c r="B74">
        <v>37.474158032326052</v>
      </c>
      <c r="C74">
        <v>37.65537037037037</v>
      </c>
      <c r="D74">
        <v>37.107666666699998</v>
      </c>
    </row>
    <row r="75" spans="1:4" x14ac:dyDescent="0.3">
      <c r="A75" s="81">
        <v>0.75833333333333286</v>
      </c>
      <c r="B75">
        <v>37.467516605239098</v>
      </c>
      <c r="C75">
        <v>37.601851851851862</v>
      </c>
      <c r="D75">
        <v>37.109490166666703</v>
      </c>
    </row>
    <row r="76" spans="1:4" x14ac:dyDescent="0.3">
      <c r="A76" s="81">
        <v>0.76388888888888984</v>
      </c>
      <c r="B76">
        <v>37.460337234009948</v>
      </c>
      <c r="C76">
        <v>37.513703703703705</v>
      </c>
      <c r="D76">
        <v>37.107372666666699</v>
      </c>
    </row>
    <row r="77" spans="1:4" x14ac:dyDescent="0.3">
      <c r="A77" s="81">
        <v>0.76944444444444482</v>
      </c>
      <c r="B77">
        <v>37.452628665599441</v>
      </c>
      <c r="C77">
        <v>37.425555555555498</v>
      </c>
      <c r="D77">
        <v>37.100445000000001</v>
      </c>
    </row>
    <row r="78" spans="1:4" x14ac:dyDescent="0.3">
      <c r="A78" s="81">
        <v>0.77499999999999991</v>
      </c>
      <c r="B78">
        <v>37.448578842481595</v>
      </c>
      <c r="C78">
        <v>37.487037037037034</v>
      </c>
      <c r="D78">
        <v>37.100877799999999</v>
      </c>
    </row>
    <row r="79" spans="1:4" x14ac:dyDescent="0.3">
      <c r="A79" s="81">
        <v>0.78055555555555489</v>
      </c>
      <c r="B79">
        <v>37.44440029171389</v>
      </c>
      <c r="C79">
        <v>37.539259259259303</v>
      </c>
      <c r="D79">
        <v>37.096403622222198</v>
      </c>
    </row>
    <row r="80" spans="1:4" x14ac:dyDescent="0.3">
      <c r="A80" s="81">
        <v>0.78611111111111087</v>
      </c>
      <c r="B80">
        <v>37.435662137362719</v>
      </c>
      <c r="C80">
        <v>37.468703703703703</v>
      </c>
      <c r="D80">
        <v>37.093156188888898</v>
      </c>
    </row>
    <row r="81" spans="1:4" x14ac:dyDescent="0.3">
      <c r="A81" s="81">
        <v>0.78888888888888886</v>
      </c>
      <c r="B81">
        <v>37.426424848644537</v>
      </c>
      <c r="C81">
        <v>37.398148148148145</v>
      </c>
      <c r="D81">
        <v>37.089090925925902</v>
      </c>
    </row>
    <row r="82" spans="1:4" x14ac:dyDescent="0.3">
      <c r="A82" s="81">
        <v>0.79166666666666685</v>
      </c>
      <c r="B82">
        <v>37.416699679776485</v>
      </c>
      <c r="C82">
        <v>37.388851851851854</v>
      </c>
      <c r="D82">
        <v>37.096403622222198</v>
      </c>
    </row>
    <row r="83" spans="1:4" x14ac:dyDescent="0.3">
      <c r="A83" s="81">
        <v>0.79722222222222283</v>
      </c>
      <c r="B83">
        <v>37.406498479382712</v>
      </c>
      <c r="C83">
        <v>37.379555555555598</v>
      </c>
      <c r="D83">
        <v>37.093156188888898</v>
      </c>
    </row>
    <row r="84" spans="1:4" x14ac:dyDescent="0.3">
      <c r="A84" s="81">
        <v>0.80277777777777881</v>
      </c>
      <c r="B84">
        <v>37.39583367605865</v>
      </c>
      <c r="C84">
        <v>37.411999999999992</v>
      </c>
      <c r="D84">
        <v>37.089090925925902</v>
      </c>
    </row>
    <row r="85" spans="1:4" x14ac:dyDescent="0.3">
      <c r="A85" s="81">
        <v>0.8083333333333329</v>
      </c>
      <c r="B85">
        <v>37.384718263228685</v>
      </c>
      <c r="C85">
        <v>37.454888888888895</v>
      </c>
      <c r="D85">
        <v>37.085230120370397</v>
      </c>
    </row>
    <row r="86" spans="1:4" x14ac:dyDescent="0.3">
      <c r="A86" s="81">
        <v>0.81388888888888888</v>
      </c>
      <c r="B86">
        <v>37.373165783315642</v>
      </c>
      <c r="C86">
        <v>37.506</v>
      </c>
      <c r="D86">
        <v>37.0813693148148</v>
      </c>
    </row>
    <row r="87" spans="1:4" x14ac:dyDescent="0.3">
      <c r="A87" s="81">
        <v>0.81944444444444386</v>
      </c>
      <c r="B87">
        <v>37.361190311241444</v>
      </c>
      <c r="C87">
        <v>37.539000000000001</v>
      </c>
      <c r="D87">
        <v>37.077508509259303</v>
      </c>
    </row>
    <row r="88" spans="1:4" x14ac:dyDescent="0.3">
      <c r="A88" s="81">
        <v>0.82500000000000084</v>
      </c>
      <c r="B88">
        <v>37.348806437278988</v>
      </c>
      <c r="C88">
        <v>37.572000000000003</v>
      </c>
      <c r="D88">
        <v>37.073647703703699</v>
      </c>
    </row>
    <row r="89" spans="1:4" x14ac:dyDescent="0.3">
      <c r="A89" s="81">
        <v>0.83055555555555582</v>
      </c>
      <c r="B89">
        <v>37.336029249276102</v>
      </c>
      <c r="C89">
        <v>37.528722222222221</v>
      </c>
      <c r="D89">
        <v>37.102222222222217</v>
      </c>
    </row>
    <row r="90" spans="1:4" x14ac:dyDescent="0.3">
      <c r="A90" s="81">
        <v>0.83611111111111092</v>
      </c>
      <c r="B90">
        <v>37.322874314273371</v>
      </c>
      <c r="C90">
        <v>37.449111111111108</v>
      </c>
      <c r="D90">
        <v>37.098518518518517</v>
      </c>
    </row>
    <row r="91" spans="1:4" x14ac:dyDescent="0.3">
      <c r="A91" s="81">
        <v>0.8416666666666659</v>
      </c>
      <c r="B91">
        <v>37.309357659538058</v>
      </c>
      <c r="C91">
        <v>37.402444444444448</v>
      </c>
      <c r="D91">
        <v>37.101388888888891</v>
      </c>
    </row>
    <row r="92" spans="1:4" x14ac:dyDescent="0.3">
      <c r="A92" s="81">
        <v>0.84722222222222188</v>
      </c>
      <c r="B92">
        <v>37.295495753037336</v>
      </c>
      <c r="C92">
        <v>37.361555555555555</v>
      </c>
      <c r="D92">
        <v>37.1203425925925</v>
      </c>
    </row>
    <row r="93" spans="1:4" x14ac:dyDescent="0.3">
      <c r="A93" s="81">
        <v>0.85277777777777786</v>
      </c>
      <c r="B93">
        <v>37.281305483374624</v>
      </c>
      <c r="C93">
        <v>37.309777777777782</v>
      </c>
      <c r="D93">
        <v>37.119999999999997</v>
      </c>
    </row>
    <row r="94" spans="1:4" x14ac:dyDescent="0.3">
      <c r="A94" s="81">
        <v>0.85833333333333384</v>
      </c>
      <c r="B94">
        <v>37.266804139213406</v>
      </c>
      <c r="C94">
        <v>37.258000000000003</v>
      </c>
      <c r="D94">
        <v>37.132024999999999</v>
      </c>
    </row>
    <row r="95" spans="1:4" x14ac:dyDescent="0.3">
      <c r="A95" s="81">
        <v>0.86388888888888982</v>
      </c>
      <c r="B95">
        <v>37.252009388213644</v>
      </c>
      <c r="C95">
        <v>37.2073888888889</v>
      </c>
      <c r="D95">
        <v>37.123129629629602</v>
      </c>
    </row>
    <row r="96" spans="1:4" x14ac:dyDescent="0.3">
      <c r="A96" s="81">
        <v>0.86944444444444391</v>
      </c>
      <c r="B96">
        <v>37.236939255506464</v>
      </c>
      <c r="C96">
        <v>37.110111111111109</v>
      </c>
      <c r="D96">
        <v>37.121000000000002</v>
      </c>
    </row>
    <row r="97" spans="1:4" x14ac:dyDescent="0.3">
      <c r="A97" s="81">
        <v>0.87499999999999989</v>
      </c>
      <c r="B97">
        <v>37.221612101733278</v>
      </c>
      <c r="C97">
        <v>37.181111111111107</v>
      </c>
      <c r="D97">
        <v>37.194814814814805</v>
      </c>
    </row>
    <row r="98" spans="1:4" x14ac:dyDescent="0.3">
      <c r="A98" s="81">
        <v>0.88055555555555487</v>
      </c>
      <c r="B98">
        <v>37.20604660067621</v>
      </c>
      <c r="C98">
        <v>37.246444444444442</v>
      </c>
      <c r="D98">
        <v>37.1437037037037</v>
      </c>
    </row>
    <row r="99" spans="1:4" x14ac:dyDescent="0.3">
      <c r="A99" s="81">
        <v>0.88611111111111085</v>
      </c>
      <c r="B99">
        <v>37.190261716506903</v>
      </c>
      <c r="C99">
        <v>37.311777777777799</v>
      </c>
      <c r="D99">
        <v>37.190925925925903</v>
      </c>
    </row>
    <row r="100" spans="1:4" x14ac:dyDescent="0.3">
      <c r="A100" s="81">
        <v>0.89166666666666683</v>
      </c>
      <c r="B100">
        <v>37.174276680681636</v>
      </c>
      <c r="C100">
        <v>37.293611111111119</v>
      </c>
      <c r="D100">
        <v>37.130472222222203</v>
      </c>
    </row>
    <row r="101" spans="1:4" x14ac:dyDescent="0.3">
      <c r="A101" s="81">
        <v>0.89722222222222281</v>
      </c>
      <c r="B101">
        <v>37.158110968510705</v>
      </c>
      <c r="C101">
        <v>37.28462962962962</v>
      </c>
      <c r="D101">
        <v>37.146583333333297</v>
      </c>
    </row>
    <row r="102" spans="1:4" x14ac:dyDescent="0.3">
      <c r="A102" s="81">
        <v>0.9027777777777779</v>
      </c>
      <c r="B102">
        <v>37.141784275430808</v>
      </c>
      <c r="C102">
        <v>37.314629629629636</v>
      </c>
      <c r="D102">
        <v>37.369444444445001</v>
      </c>
    </row>
    <row r="103" spans="1:4" x14ac:dyDescent="0.3">
      <c r="A103" s="81">
        <v>0.90833333333333288</v>
      </c>
      <c r="B103">
        <v>37.12531649300913</v>
      </c>
      <c r="C103">
        <v>37.304444444444442</v>
      </c>
      <c r="D103">
        <v>37.446087962962899</v>
      </c>
    </row>
    <row r="104" spans="1:4" x14ac:dyDescent="0.3">
      <c r="A104" s="81">
        <v>0.91388888888888886</v>
      </c>
      <c r="B104">
        <v>37.108727684708548</v>
      </c>
      <c r="C104">
        <v>37.294259259259199</v>
      </c>
      <c r="D104">
        <v>37.576462962962957</v>
      </c>
    </row>
    <row r="105" spans="1:4" x14ac:dyDescent="0.3">
      <c r="A105" s="81">
        <v>0.91944444444444484</v>
      </c>
      <c r="B105">
        <v>37.092038061443368</v>
      </c>
      <c r="C105">
        <v>37.237222222222229</v>
      </c>
      <c r="D105">
        <v>37.534277777777774</v>
      </c>
    </row>
    <row r="106" spans="1:4" x14ac:dyDescent="0.3">
      <c r="A106" s="81">
        <v>0.92500000000000082</v>
      </c>
      <c r="B106">
        <v>37.075267956955457</v>
      </c>
      <c r="C106">
        <v>37.247777777777777</v>
      </c>
      <c r="D106">
        <v>37.637759259259262</v>
      </c>
    </row>
    <row r="107" spans="1:4" x14ac:dyDescent="0.3">
      <c r="A107" s="81">
        <v>0.93055555555555491</v>
      </c>
      <c r="B107">
        <v>37.058437803040682</v>
      </c>
      <c r="C107">
        <v>37.221111111111114</v>
      </c>
      <c r="D107">
        <v>37.648388888888903</v>
      </c>
    </row>
    <row r="108" spans="1:4" x14ac:dyDescent="0.3">
      <c r="A108" s="81">
        <v>0.93611111111111089</v>
      </c>
      <c r="B108">
        <v>37.041568104655916</v>
      </c>
      <c r="C108">
        <v>37.188888888888897</v>
      </c>
      <c r="D108">
        <v>37.672592592592999</v>
      </c>
    </row>
    <row r="109" spans="1:4" x14ac:dyDescent="0.3">
      <c r="A109" s="81">
        <v>0.94166666666666687</v>
      </c>
      <c r="B109">
        <v>37.02467941493687</v>
      </c>
      <c r="C109">
        <v>37.156666666666702</v>
      </c>
      <c r="D109">
        <v>37.720129629629596</v>
      </c>
    </row>
    <row r="110" spans="1:4" x14ac:dyDescent="0.3">
      <c r="A110" s="81">
        <v>0.94722222222222185</v>
      </c>
      <c r="B110">
        <v>37.007792310157313</v>
      </c>
      <c r="C110">
        <v>37.144444444444439</v>
      </c>
      <c r="D110">
        <v>37.753851851851898</v>
      </c>
    </row>
    <row r="111" spans="1:4" x14ac:dyDescent="0.3">
      <c r="A111" s="81">
        <v>0.95277777777777883</v>
      </c>
      <c r="B111">
        <v>36.990927364659981</v>
      </c>
      <c r="C111">
        <v>37.130000000000003</v>
      </c>
      <c r="D111">
        <v>37.71</v>
      </c>
    </row>
    <row r="112" spans="1:4" x14ac:dyDescent="0.3">
      <c r="A112" s="81">
        <v>0.95833333333333381</v>
      </c>
      <c r="B112">
        <v>36.974105125789947</v>
      </c>
      <c r="C112">
        <v>37.033333333333331</v>
      </c>
      <c r="D112">
        <v>37.704666666666668</v>
      </c>
    </row>
    <row r="113" spans="1:4" x14ac:dyDescent="0.3">
      <c r="A113" s="81">
        <v>0.96388888888888891</v>
      </c>
      <c r="B113">
        <v>36.957346088860803</v>
      </c>
      <c r="C113">
        <v>36.892222222222216</v>
      </c>
      <c r="D113">
        <v>37.581055555555558</v>
      </c>
    </row>
    <row r="114" spans="1:4" x14ac:dyDescent="0.3">
      <c r="A114" s="81">
        <v>0.96944444444444389</v>
      </c>
      <c r="B114">
        <v>36.940670672184297</v>
      </c>
      <c r="C114">
        <v>36.751111111111101</v>
      </c>
      <c r="D114">
        <v>37.548611111111107</v>
      </c>
    </row>
    <row r="115" spans="1:4" x14ac:dyDescent="0.3">
      <c r="A115" s="81">
        <v>0.97499999999999987</v>
      </c>
      <c r="B115">
        <v>36.924099192193751</v>
      </c>
      <c r="C115">
        <v>36.797777777777782</v>
      </c>
      <c r="D115">
        <v>37.457555555555551</v>
      </c>
    </row>
    <row r="116" spans="1:4" x14ac:dyDescent="0.3">
      <c r="A116" s="81">
        <v>0.98055555555555585</v>
      </c>
      <c r="B116">
        <v>36.907651838691592</v>
      </c>
      <c r="C116">
        <v>36.777944444444444</v>
      </c>
      <c r="D116">
        <v>37.541666666666664</v>
      </c>
    </row>
    <row r="117" spans="1:4" x14ac:dyDescent="0.3">
      <c r="A117" s="81">
        <v>0.98611111111111183</v>
      </c>
      <c r="B117">
        <v>36.891348650251189</v>
      </c>
      <c r="C117">
        <v>36.731666666666655</v>
      </c>
      <c r="D117">
        <v>37.511209999999998</v>
      </c>
    </row>
    <row r="118" spans="1:4" x14ac:dyDescent="0.3">
      <c r="A118" s="81">
        <v>0.99166666666666781</v>
      </c>
      <c r="B118">
        <v>36.875209489802948</v>
      </c>
      <c r="C118">
        <v>36.693833333333338</v>
      </c>
      <c r="D118">
        <v>37.446203703703702</v>
      </c>
    </row>
    <row r="119" spans="1:4" x14ac:dyDescent="0.3">
      <c r="A119" s="81">
        <v>0.9972222222222219</v>
      </c>
      <c r="B119">
        <v>36.859254020434356</v>
      </c>
      <c r="C119">
        <v>36.655999999999999</v>
      </c>
      <c r="D119">
        <v>37.265462962962964</v>
      </c>
    </row>
    <row r="120" spans="1:4" x14ac:dyDescent="0.3">
      <c r="A120" s="81">
        <v>1.002777777777778</v>
      </c>
      <c r="B120">
        <v>36.843501681433537</v>
      </c>
      <c r="C120">
        <v>36.652777777777779</v>
      </c>
      <c r="D120">
        <v>37.119259259259259</v>
      </c>
    </row>
    <row r="121" spans="1:4" x14ac:dyDescent="0.3">
      <c r="A121" s="81">
        <v>1.0083333333333329</v>
      </c>
      <c r="B121">
        <v>36.827971664605478</v>
      </c>
      <c r="C121">
        <v>36.70103703703704</v>
      </c>
      <c r="D121">
        <v>37.022500000000001</v>
      </c>
    </row>
    <row r="122" spans="1:4" x14ac:dyDescent="0.3">
      <c r="A122" s="81">
        <v>1.0138888888888899</v>
      </c>
      <c r="B122">
        <v>36.812682890889747</v>
      </c>
      <c r="C122">
        <v>36.669814814814814</v>
      </c>
      <c r="D122">
        <v>36.9257407407407</v>
      </c>
    </row>
    <row r="123" spans="1:4" x14ac:dyDescent="0.3">
      <c r="A123" s="81">
        <v>1.0194444444444448</v>
      </c>
      <c r="B123">
        <v>36.797653987308244</v>
      </c>
      <c r="C123">
        <v>36.638592592592602</v>
      </c>
      <c r="D123">
        <v>36.880129629629636</v>
      </c>
    </row>
    <row r="124" spans="1:4" x14ac:dyDescent="0.3">
      <c r="A124" s="81">
        <v>1.0249999999999999</v>
      </c>
      <c r="B124">
        <v>36.782903264271049</v>
      </c>
      <c r="C124">
        <v>36.607370370370397</v>
      </c>
      <c r="D124">
        <v>36.728703703703701</v>
      </c>
    </row>
    <row r="125" spans="1:4" x14ac:dyDescent="0.3">
      <c r="A125" s="81">
        <v>1.030555555555555</v>
      </c>
      <c r="B125">
        <v>36.768448693267963</v>
      </c>
      <c r="C125">
        <v>36.544111111111107</v>
      </c>
      <c r="D125">
        <v>36.591666666666669</v>
      </c>
    </row>
    <row r="126" spans="1:4" x14ac:dyDescent="0.3">
      <c r="A126" s="81">
        <v>1.0361111111111099</v>
      </c>
      <c r="B126">
        <v>36.754307884973045</v>
      </c>
      <c r="C126">
        <v>36.490333333333332</v>
      </c>
      <c r="D126">
        <v>36.454629629629601</v>
      </c>
    </row>
    <row r="127" spans="1:4" x14ac:dyDescent="0.3">
      <c r="A127" s="81">
        <v>1.041666666666669</v>
      </c>
      <c r="B127">
        <v>36.740498067788714</v>
      </c>
      <c r="C127">
        <v>36.512277777777769</v>
      </c>
      <c r="D127">
        <v>36.463981481481483</v>
      </c>
    </row>
    <row r="128" spans="1:4" x14ac:dyDescent="0.3">
      <c r="A128" s="81">
        <v>1.0472222222222189</v>
      </c>
      <c r="B128">
        <v>36.727036066855533</v>
      </c>
      <c r="C128">
        <v>36.502592592592592</v>
      </c>
      <c r="D128">
        <v>36.431388888888897</v>
      </c>
    </row>
    <row r="129" spans="1:4" x14ac:dyDescent="0.3">
      <c r="A129" s="81">
        <v>1.0527777777777789</v>
      </c>
      <c r="B129">
        <v>36.713938283553446</v>
      </c>
      <c r="C129">
        <v>36.492907407407401</v>
      </c>
      <c r="D129">
        <v>36.351388888888891</v>
      </c>
    </row>
    <row r="130" spans="1:4" x14ac:dyDescent="0.3">
      <c r="A130" s="81">
        <v>1.0583333333333289</v>
      </c>
      <c r="B130">
        <v>36.701220675519131</v>
      </c>
      <c r="C130">
        <v>36.474259259259256</v>
      </c>
      <c r="D130">
        <v>36.414722222222217</v>
      </c>
    </row>
    <row r="131" spans="1:4" x14ac:dyDescent="0.3">
      <c r="A131" s="81">
        <v>1.0638888888888889</v>
      </c>
      <c r="B131">
        <v>36.688898737204127</v>
      </c>
      <c r="C131">
        <v>36.488444444444447</v>
      </c>
      <c r="D131">
        <v>36.408444444444442</v>
      </c>
    </row>
    <row r="132" spans="1:4" x14ac:dyDescent="0.3">
      <c r="A132" s="81">
        <v>1.0694444444444389</v>
      </c>
      <c r="B132">
        <v>36.676987480997212</v>
      </c>
      <c r="C132">
        <v>36.447648148148147</v>
      </c>
      <c r="D132">
        <v>36.402166666666702</v>
      </c>
    </row>
    <row r="133" spans="1:4" x14ac:dyDescent="0.3">
      <c r="A133" s="81">
        <v>1.0749999999999991</v>
      </c>
      <c r="B133">
        <v>36.665501418934099</v>
      </c>
      <c r="C133">
        <v>36.534351851851845</v>
      </c>
      <c r="D133">
        <v>36.336722222222221</v>
      </c>
    </row>
    <row r="134" spans="1:4" x14ac:dyDescent="0.3">
      <c r="A134" s="81">
        <v>1.0805555555555491</v>
      </c>
      <c r="B134">
        <v>36.654454545016762</v>
      </c>
      <c r="C134">
        <v>36.447574074074097</v>
      </c>
      <c r="D134">
        <v>36.307833333333335</v>
      </c>
    </row>
    <row r="135" spans="1:4" x14ac:dyDescent="0.3">
      <c r="A135" s="81">
        <v>1.086111111111109</v>
      </c>
      <c r="B135">
        <v>36.64386031816391</v>
      </c>
      <c r="C135">
        <v>36.452037037037037</v>
      </c>
      <c r="D135">
        <v>36.283481481481481</v>
      </c>
    </row>
    <row r="136" spans="1:4" x14ac:dyDescent="0.3">
      <c r="A136" s="81">
        <v>1.091666666666659</v>
      </c>
      <c r="B136">
        <v>36.633731645813327</v>
      </c>
      <c r="C136">
        <v>36.456499999999998</v>
      </c>
      <c r="D136">
        <v>36.273999999999994</v>
      </c>
    </row>
    <row r="137" spans="1:4" x14ac:dyDescent="0.3">
      <c r="A137" s="81">
        <v>1.097222222222219</v>
      </c>
      <c r="B137">
        <v>36.624080868196174</v>
      </c>
      <c r="C137">
        <v>36.460277777777776</v>
      </c>
      <c r="D137">
        <v>36.2645185185185</v>
      </c>
    </row>
    <row r="138" spans="1:4" x14ac:dyDescent="0.3">
      <c r="A138" s="81">
        <v>1.102777777777769</v>
      </c>
      <c r="B138">
        <v>36.614919743302274</v>
      </c>
      <c r="C138">
        <v>36.451296296296292</v>
      </c>
      <c r="D138">
        <v>36.212870370370375</v>
      </c>
    </row>
    <row r="139" spans="1:4" x14ac:dyDescent="0.3">
      <c r="A139" s="81">
        <v>1.108333333333329</v>
      </c>
      <c r="B139">
        <v>36.606259432554872</v>
      </c>
      <c r="C139">
        <v>36.4423148148148</v>
      </c>
      <c r="D139">
        <v>36.228851851851843</v>
      </c>
    </row>
    <row r="140" spans="1:4" x14ac:dyDescent="0.3">
      <c r="A140" s="81">
        <v>1.1138888888888789</v>
      </c>
      <c r="B140">
        <v>36.598110487212097</v>
      </c>
      <c r="C140">
        <v>36.465814814814813</v>
      </c>
      <c r="D140">
        <v>36.235351851851846</v>
      </c>
    </row>
    <row r="141" spans="1:4" x14ac:dyDescent="0.3">
      <c r="A141" s="81">
        <v>1.1194444444444389</v>
      </c>
      <c r="B141">
        <v>36.590482835511885</v>
      </c>
      <c r="C141">
        <v>36.499499999999991</v>
      </c>
      <c r="D141">
        <v>36.204925925925899</v>
      </c>
    </row>
    <row r="142" spans="1:4" x14ac:dyDescent="0.3">
      <c r="A142" s="81">
        <v>1.1249999999999889</v>
      </c>
      <c r="B142">
        <v>36.58338577057598</v>
      </c>
      <c r="C142">
        <v>36.513814814814815</v>
      </c>
      <c r="D142">
        <v>36.192462962962964</v>
      </c>
    </row>
    <row r="143" spans="1:4" x14ac:dyDescent="0.3">
      <c r="A143" s="81">
        <v>1.1305555555555489</v>
      </c>
      <c r="B143">
        <v>36.57682793908765</v>
      </c>
      <c r="C143">
        <v>36.527481481481487</v>
      </c>
      <c r="D143">
        <v>36.18</v>
      </c>
    </row>
    <row r="144" spans="1:4" x14ac:dyDescent="0.3">
      <c r="A144" s="81">
        <v>1.1361111111110991</v>
      </c>
      <c r="B144">
        <v>36.570817330757066</v>
      </c>
      <c r="C144">
        <v>36.541148148148203</v>
      </c>
      <c r="D144">
        <v>36.202222222222225</v>
      </c>
    </row>
    <row r="145" spans="1:4" x14ac:dyDescent="0.3">
      <c r="A145" s="81">
        <v>1.1416666666666591</v>
      </c>
      <c r="B145">
        <v>36.56536126858704</v>
      </c>
      <c r="C145">
        <v>36.576666666666668</v>
      </c>
      <c r="D145">
        <v>36.233333333333327</v>
      </c>
    </row>
    <row r="146" spans="1:4" x14ac:dyDescent="0.3">
      <c r="A146" s="81">
        <v>1.147222222222209</v>
      </c>
      <c r="B146">
        <v>36.560466399951103</v>
      </c>
      <c r="C146">
        <v>36.608333333333334</v>
      </c>
      <c r="D146">
        <v>36.258148148148145</v>
      </c>
    </row>
    <row r="147" spans="1:4" x14ac:dyDescent="0.3">
      <c r="A147" s="81">
        <v>1.152777777777769</v>
      </c>
      <c r="B147">
        <v>36.556138688494663</v>
      </c>
      <c r="C147">
        <v>36.588240740740744</v>
      </c>
      <c r="D147">
        <v>36.282962962962998</v>
      </c>
    </row>
    <row r="148" spans="1:4" x14ac:dyDescent="0.3">
      <c r="A148" s="81">
        <v>1.158333333333319</v>
      </c>
      <c r="B148">
        <v>36.552383406869247</v>
      </c>
      <c r="C148">
        <v>36.569185185185184</v>
      </c>
      <c r="D148">
        <v>36.206666666666671</v>
      </c>
    </row>
    <row r="149" spans="1:4" x14ac:dyDescent="0.3">
      <c r="A149" s="81">
        <v>1.163888888888869</v>
      </c>
      <c r="B149">
        <v>36.549205130308586</v>
      </c>
      <c r="C149">
        <v>36.550129629629602</v>
      </c>
      <c r="D149">
        <v>36.225555555555559</v>
      </c>
    </row>
    <row r="150" spans="1:4" x14ac:dyDescent="0.3">
      <c r="A150" s="81">
        <v>1.169444444444429</v>
      </c>
      <c r="B150">
        <v>36.546607731054365</v>
      </c>
      <c r="C150">
        <v>36.549740740740745</v>
      </c>
      <c r="D150">
        <v>36.223333333333329</v>
      </c>
    </row>
    <row r="151" spans="1:4" x14ac:dyDescent="0.3">
      <c r="A151" s="81">
        <v>1.1749999999999889</v>
      </c>
      <c r="B151">
        <v>36.544594373638546</v>
      </c>
      <c r="C151">
        <v>36.540481481481478</v>
      </c>
      <c r="D151">
        <v>36.222962962962953</v>
      </c>
    </row>
    <row r="152" spans="1:4" x14ac:dyDescent="0.3">
      <c r="A152" s="81">
        <v>1.1805555555555389</v>
      </c>
      <c r="B152">
        <v>36.543167511027804</v>
      </c>
      <c r="C152">
        <v>36.554166666666667</v>
      </c>
      <c r="D152">
        <v>36.220740740740801</v>
      </c>
    </row>
    <row r="153" spans="1:4" x14ac:dyDescent="0.3">
      <c r="A153" s="81">
        <v>1.1861111111110989</v>
      </c>
      <c r="B153">
        <v>36.542328881635022</v>
      </c>
      <c r="C153">
        <v>36.555</v>
      </c>
      <c r="D153">
        <v>36.18518518518519</v>
      </c>
    </row>
    <row r="154" spans="1:4" x14ac:dyDescent="0.3">
      <c r="A154" s="81">
        <v>1.1916666666666489</v>
      </c>
      <c r="B154">
        <v>36.542079507201272</v>
      </c>
      <c r="C154">
        <v>36.555833333333297</v>
      </c>
      <c r="D154">
        <v>36.149629629629629</v>
      </c>
    </row>
    <row r="155" spans="1:4" x14ac:dyDescent="0.3">
      <c r="A155" s="81">
        <v>1.1972222222222089</v>
      </c>
      <c r="B155">
        <v>36.542419691550997</v>
      </c>
      <c r="C155">
        <v>36.56894444444444</v>
      </c>
      <c r="D155">
        <v>36.146666666666675</v>
      </c>
    </row>
    <row r="156" spans="1:4" x14ac:dyDescent="0.3">
      <c r="A156" s="81">
        <v>1.2027777777777591</v>
      </c>
      <c r="B156">
        <v>36.543349020221818</v>
      </c>
      <c r="C156">
        <v>36.539722222222231</v>
      </c>
      <c r="D156">
        <v>36.162962962962951</v>
      </c>
    </row>
    <row r="157" spans="1:4" x14ac:dyDescent="0.3">
      <c r="A157" s="81">
        <v>1.2083333333333091</v>
      </c>
      <c r="B157">
        <v>36.544866360969536</v>
      </c>
      <c r="C157">
        <v>36.530555555555551</v>
      </c>
      <c r="D157">
        <v>36.141851851851797</v>
      </c>
    </row>
    <row r="158" spans="1:4" x14ac:dyDescent="0.3">
      <c r="A158" s="81">
        <v>1.213888888888869</v>
      </c>
      <c r="B158">
        <v>36.54696986514756</v>
      </c>
      <c r="C158">
        <v>36.546277777777782</v>
      </c>
      <c r="D158">
        <v>36.124814814814812</v>
      </c>
    </row>
    <row r="159" spans="1:4" x14ac:dyDescent="0.3">
      <c r="A159" s="81">
        <v>1.219444444444419</v>
      </c>
      <c r="B159">
        <v>36.549656969959216</v>
      </c>
      <c r="C159">
        <v>36.561999999999998</v>
      </c>
      <c r="D159">
        <v>36.107777777777784</v>
      </c>
    </row>
    <row r="160" spans="1:4" x14ac:dyDescent="0.3">
      <c r="A160" s="81">
        <v>1.224999999999979</v>
      </c>
      <c r="B160">
        <v>36.552924401580128</v>
      </c>
      <c r="C160">
        <v>36.612777777777779</v>
      </c>
      <c r="D160">
        <v>36.053888888888892</v>
      </c>
    </row>
    <row r="161" spans="1:4" x14ac:dyDescent="0.3">
      <c r="A161" s="81">
        <v>1.230555555555529</v>
      </c>
      <c r="B161">
        <v>36.556768179146843</v>
      </c>
      <c r="C161">
        <v>36.612185185185183</v>
      </c>
      <c r="D161">
        <v>36.174074074074078</v>
      </c>
    </row>
    <row r="162" spans="1:4" x14ac:dyDescent="0.3">
      <c r="A162" s="81">
        <v>1.236111111111089</v>
      </c>
      <c r="B162">
        <v>36.561183619606943</v>
      </c>
      <c r="C162">
        <v>36.687222222222218</v>
      </c>
      <c r="D162">
        <v>36.204259259259302</v>
      </c>
    </row>
    <row r="163" spans="1:4" x14ac:dyDescent="0.3">
      <c r="A163" s="81">
        <v>1.2416666666666389</v>
      </c>
      <c r="B163">
        <v>36.566165343424579</v>
      </c>
      <c r="C163">
        <v>36.699611111111103</v>
      </c>
      <c r="D163">
        <v>36.211851851851847</v>
      </c>
    </row>
    <row r="164" spans="1:4" x14ac:dyDescent="0.3">
      <c r="A164" s="81">
        <v>1.2472222222221989</v>
      </c>
      <c r="B164">
        <v>36.571707281134636</v>
      </c>
      <c r="C164">
        <v>36.712000000000003</v>
      </c>
      <c r="D164">
        <v>36.202592592592595</v>
      </c>
    </row>
    <row r="165" spans="1:4" x14ac:dyDescent="0.3">
      <c r="A165" s="81">
        <v>1.2527777777777589</v>
      </c>
      <c r="B165">
        <v>36.577802680737449</v>
      </c>
      <c r="C165">
        <v>36.737740740740747</v>
      </c>
      <c r="D165">
        <v>36.258148148148138</v>
      </c>
    </row>
    <row r="166" spans="1:4" x14ac:dyDescent="0.3">
      <c r="A166" s="81">
        <v>1.2583333333333089</v>
      </c>
      <c r="B166">
        <v>36.584444115925059</v>
      </c>
      <c r="C166">
        <v>36.722833333333334</v>
      </c>
      <c r="D166">
        <v>36.305185185185188</v>
      </c>
    </row>
    <row r="167" spans="1:4" x14ac:dyDescent="0.3">
      <c r="A167" s="81">
        <v>1.2638888888888589</v>
      </c>
      <c r="B167">
        <v>36.591623495129042</v>
      </c>
      <c r="C167">
        <v>36.745444444444445</v>
      </c>
      <c r="D167">
        <v>36.379629629629626</v>
      </c>
    </row>
    <row r="168" spans="1:4" x14ac:dyDescent="0.3">
      <c r="A168" s="81">
        <v>1.2694444444444191</v>
      </c>
      <c r="B168">
        <v>36.599332071378825</v>
      </c>
      <c r="C168">
        <v>36.614999999999995</v>
      </c>
      <c r="D168">
        <v>36.394074074074098</v>
      </c>
    </row>
    <row r="169" spans="1:4" x14ac:dyDescent="0.3">
      <c r="A169" s="81">
        <v>1.274999999999969</v>
      </c>
      <c r="B169">
        <v>36.607560452958545</v>
      </c>
      <c r="C169">
        <v>36.484555555555502</v>
      </c>
      <c r="D169">
        <v>36.413333333333327</v>
      </c>
    </row>
    <row r="170" spans="1:4" x14ac:dyDescent="0.3">
      <c r="A170" s="81">
        <v>1.280555555555529</v>
      </c>
      <c r="B170">
        <v>36.616298614849406</v>
      </c>
      <c r="C170">
        <v>36.653148148148148</v>
      </c>
      <c r="D170">
        <v>36.39314814814815</v>
      </c>
    </row>
    <row r="171" spans="1:4" x14ac:dyDescent="0.3">
      <c r="A171" s="81">
        <v>1.286111111111079</v>
      </c>
      <c r="B171">
        <v>36.625535910943626</v>
      </c>
      <c r="C171">
        <v>36.678333333333335</v>
      </c>
      <c r="D171">
        <v>36.405000000000001</v>
      </c>
    </row>
    <row r="172" spans="1:4" x14ac:dyDescent="0.3">
      <c r="A172" s="81">
        <v>1.291666666666639</v>
      </c>
      <c r="B172">
        <v>36.63526108701506</v>
      </c>
      <c r="C172">
        <v>36.712407407407412</v>
      </c>
      <c r="D172">
        <v>36.42</v>
      </c>
    </row>
    <row r="173" spans="1:4" x14ac:dyDescent="0.3">
      <c r="A173" s="81">
        <v>1.297222222222189</v>
      </c>
      <c r="B173">
        <v>36.645462294430793</v>
      </c>
      <c r="C173">
        <v>36.773611111111109</v>
      </c>
      <c r="D173">
        <v>36.445555555555558</v>
      </c>
    </row>
    <row r="174" spans="1:4" x14ac:dyDescent="0.3">
      <c r="A174" s="81">
        <v>1.3027777777777489</v>
      </c>
      <c r="B174">
        <v>36.656127104586822</v>
      </c>
      <c r="C174">
        <v>36.743360000000003</v>
      </c>
      <c r="D174">
        <v>36.461851851851854</v>
      </c>
    </row>
    <row r="175" spans="1:4" x14ac:dyDescent="0.3">
      <c r="A175" s="81">
        <v>1.3083333333333089</v>
      </c>
      <c r="B175">
        <v>36.667242524050465</v>
      </c>
      <c r="C175">
        <v>36.693333333333335</v>
      </c>
      <c r="D175">
        <v>36.505000000000003</v>
      </c>
    </row>
    <row r="176" spans="1:4" x14ac:dyDescent="0.3">
      <c r="A176" s="81">
        <v>1.3138888888888589</v>
      </c>
      <c r="B176">
        <v>36.678795010390793</v>
      </c>
      <c r="C176">
        <v>36.815740740740729</v>
      </c>
      <c r="D176">
        <v>36.548148148148201</v>
      </c>
    </row>
    <row r="177" spans="1:4" x14ac:dyDescent="0.3">
      <c r="A177" s="81">
        <v>1.3194444444444189</v>
      </c>
      <c r="B177">
        <v>36.690770488678055</v>
      </c>
      <c r="C177">
        <v>36.790370370370368</v>
      </c>
      <c r="D177">
        <v>36.591296296296299</v>
      </c>
    </row>
    <row r="178" spans="1:4" x14ac:dyDescent="0.3">
      <c r="A178" s="81">
        <v>1.3249999999999689</v>
      </c>
      <c r="B178">
        <v>36.7031543686318</v>
      </c>
      <c r="C178">
        <v>36.845740740740744</v>
      </c>
      <c r="D178">
        <v>36.64</v>
      </c>
    </row>
    <row r="179" spans="1:4" x14ac:dyDescent="0.3">
      <c r="A179" s="81">
        <v>1.3305555555555191</v>
      </c>
      <c r="B179">
        <v>36.715931562396875</v>
      </c>
      <c r="C179">
        <v>36.901111111111099</v>
      </c>
      <c r="D179">
        <v>36.661111111111104</v>
      </c>
    </row>
    <row r="180" spans="1:4" x14ac:dyDescent="0.3">
      <c r="A180" s="81">
        <v>1.3361111111110791</v>
      </c>
      <c r="B180">
        <v>36.729086502925696</v>
      </c>
      <c r="C180">
        <v>36.8787037037037</v>
      </c>
      <c r="D180">
        <v>36.716111111111118</v>
      </c>
    </row>
    <row r="181" spans="1:4" x14ac:dyDescent="0.3">
      <c r="A181" s="81">
        <v>1.341666666666629</v>
      </c>
      <c r="B181">
        <v>36.742603162944263</v>
      </c>
      <c r="C181">
        <v>36.958611111111118</v>
      </c>
      <c r="D181">
        <v>36.719444444444456</v>
      </c>
    </row>
    <row r="182" spans="1:4" x14ac:dyDescent="0.3">
      <c r="A182" s="81">
        <v>1.347222222222189</v>
      </c>
      <c r="B182">
        <v>36.75646507447896</v>
      </c>
      <c r="C182">
        <v>37.050740740740743</v>
      </c>
      <c r="D182">
        <v>36.69</v>
      </c>
    </row>
    <row r="183" spans="1:4" x14ac:dyDescent="0.3">
      <c r="A183" s="81">
        <v>1.352777777777739</v>
      </c>
      <c r="B183">
        <v>36.770655348920229</v>
      </c>
      <c r="C183">
        <v>37.142870370370403</v>
      </c>
      <c r="D183">
        <v>36.664999999999992</v>
      </c>
    </row>
    <row r="184" spans="1:4" x14ac:dyDescent="0.3">
      <c r="A184" s="81">
        <v>1.358333333333299</v>
      </c>
      <c r="B184">
        <v>36.785156697598786</v>
      </c>
      <c r="C184">
        <v>37.017777777777773</v>
      </c>
      <c r="D184">
        <v>36.638888888888886</v>
      </c>
    </row>
    <row r="185" spans="1:4" x14ac:dyDescent="0.3">
      <c r="A185" s="81">
        <v>1.363888888888859</v>
      </c>
      <c r="D185">
        <v>36.804444444444442</v>
      </c>
    </row>
    <row r="186" spans="1:4" x14ac:dyDescent="0.3">
      <c r="A186" s="81">
        <v>1.3694444444444089</v>
      </c>
      <c r="D186">
        <v>36.840000000000003</v>
      </c>
    </row>
    <row r="187" spans="1:4" x14ac:dyDescent="0.3">
      <c r="A187" s="81">
        <v>1.3749999999999689</v>
      </c>
      <c r="D187">
        <v>36.878888888888888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9A14-11B4-46CD-9A9C-00D4712EF1DC}">
  <dimension ref="A3:BO98"/>
  <sheetViews>
    <sheetView workbookViewId="0">
      <selection activeCell="AO4" sqref="AO4:AO25"/>
    </sheetView>
  </sheetViews>
  <sheetFormatPr baseColWidth="10" defaultRowHeight="14.4" x14ac:dyDescent="0.3"/>
  <cols>
    <col min="1" max="1" width="11.5546875" style="28"/>
    <col min="2" max="2" width="21.21875" style="28" bestFit="1" customWidth="1"/>
    <col min="3" max="3" width="21.21875" style="28" customWidth="1"/>
    <col min="4" max="16384" width="11.5546875" style="28"/>
  </cols>
  <sheetData>
    <row r="3" spans="1:67" ht="52.8" customHeight="1" x14ac:dyDescent="0.3">
      <c r="D3" s="67" t="s">
        <v>68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9"/>
      <c r="AJ3" s="71" t="s">
        <v>5</v>
      </c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</row>
    <row r="4" spans="1:67" s="27" customFormat="1" x14ac:dyDescent="0.3">
      <c r="A4" s="27" t="s">
        <v>37</v>
      </c>
      <c r="B4" s="27" t="s">
        <v>36</v>
      </c>
      <c r="C4" s="31" t="s">
        <v>37</v>
      </c>
      <c r="D4" s="34">
        <v>0</v>
      </c>
      <c r="E4" s="34">
        <v>5.5555555555559799E-3</v>
      </c>
      <c r="F4" s="34">
        <v>1.1111111111110961E-2</v>
      </c>
      <c r="G4" s="34">
        <v>1.6666666666666996E-2</v>
      </c>
      <c r="H4" s="34">
        <v>2.2222222222222976E-2</v>
      </c>
      <c r="I4" s="34">
        <v>2.7777777777777957E-2</v>
      </c>
      <c r="J4" s="34">
        <v>3.3333333333333992E-2</v>
      </c>
      <c r="K4" s="34">
        <v>3.8888888888888973E-2</v>
      </c>
      <c r="L4" s="34">
        <v>4.4444444444444953E-2</v>
      </c>
      <c r="M4" s="34">
        <v>4.9999999999999989E-2</v>
      </c>
      <c r="N4" s="34">
        <v>5.5555555555555969E-2</v>
      </c>
      <c r="O4" s="34">
        <v>6.1111111111111949E-2</v>
      </c>
      <c r="P4" s="34">
        <v>6.6666666666666985E-2</v>
      </c>
      <c r="Q4" s="34">
        <v>7.2222222222222965E-2</v>
      </c>
      <c r="R4" s="34">
        <v>7.7777777777778001E-2</v>
      </c>
      <c r="S4" s="34">
        <v>8.3333333333333981E-2</v>
      </c>
      <c r="T4" s="34">
        <v>8.8888888888888962E-2</v>
      </c>
      <c r="U4" s="34">
        <v>9.4444444444444997E-2</v>
      </c>
      <c r="V4" s="34">
        <v>9.9999999999999978E-2</v>
      </c>
      <c r="W4" s="34">
        <v>0.10555555555555596</v>
      </c>
      <c r="X4" s="34">
        <v>0.11111111111111199</v>
      </c>
      <c r="Y4" s="34">
        <v>0.11666666666666697</v>
      </c>
      <c r="Z4" s="34">
        <v>0.12222222222222295</v>
      </c>
      <c r="AA4" s="34">
        <v>0.12777777777777799</v>
      </c>
      <c r="AB4" s="34">
        <v>0.13333333333333397</v>
      </c>
      <c r="AC4" s="34">
        <v>0.13888888888888895</v>
      </c>
      <c r="AD4" s="34">
        <v>0.14444444444444499</v>
      </c>
      <c r="AE4" s="34">
        <v>0.14722222222222298</v>
      </c>
      <c r="AF4" s="34">
        <v>0.14999999999999997</v>
      </c>
      <c r="AG4" s="34">
        <v>0.15555555555555595</v>
      </c>
      <c r="AH4" s="34">
        <v>0.16111111111111293</v>
      </c>
      <c r="AI4" s="34">
        <v>0.16666666666666702</v>
      </c>
      <c r="AJ4" s="34">
        <v>0</v>
      </c>
      <c r="AK4" s="34">
        <v>5.5555555555559799E-3</v>
      </c>
      <c r="AL4" s="34">
        <v>1.1111111111110961E-2</v>
      </c>
      <c r="AM4" s="34">
        <v>1.6666666666666996E-2</v>
      </c>
      <c r="AN4" s="34">
        <v>2.2222222222222976E-2</v>
      </c>
      <c r="AO4" s="34">
        <v>2.7777777777777957E-2</v>
      </c>
      <c r="AP4" s="34">
        <v>3.3333333333333992E-2</v>
      </c>
      <c r="AQ4" s="34">
        <v>3.8888888888888973E-2</v>
      </c>
      <c r="AR4" s="34">
        <v>4.4444444444444953E-2</v>
      </c>
      <c r="AS4" s="34">
        <v>4.9999999999999989E-2</v>
      </c>
      <c r="AT4" s="34">
        <v>5.5555555555555969E-2</v>
      </c>
      <c r="AU4" s="34">
        <v>6.1111111111111949E-2</v>
      </c>
      <c r="AV4" s="34">
        <v>6.6666666666666985E-2</v>
      </c>
      <c r="AW4" s="34">
        <v>7.2222222222222965E-2</v>
      </c>
      <c r="AX4" s="34">
        <v>7.7777777777778001E-2</v>
      </c>
      <c r="AY4" s="34">
        <v>8.3333333333333981E-2</v>
      </c>
      <c r="AZ4" s="34">
        <v>8.8888888888888962E-2</v>
      </c>
      <c r="BA4" s="34">
        <v>9.4444444444444997E-2</v>
      </c>
      <c r="BB4" s="34">
        <v>9.9999999999999978E-2</v>
      </c>
      <c r="BC4" s="34">
        <v>0.10555555555555596</v>
      </c>
      <c r="BD4" s="34">
        <v>0.11111111111111199</v>
      </c>
      <c r="BE4" s="34">
        <v>0.11666666666666697</v>
      </c>
      <c r="BF4" s="34">
        <v>0.12222222222222295</v>
      </c>
      <c r="BG4" s="34">
        <v>0.12777777777777799</v>
      </c>
      <c r="BH4" s="34">
        <v>0.13333333333333397</v>
      </c>
      <c r="BI4" s="34">
        <v>0.13888888888888895</v>
      </c>
      <c r="BJ4" s="34">
        <v>0.14444444444444499</v>
      </c>
      <c r="BK4" s="34">
        <v>0.14722222222222298</v>
      </c>
      <c r="BL4" s="34">
        <v>0.14999999999999997</v>
      </c>
      <c r="BM4" s="34">
        <v>0.15555555555555595</v>
      </c>
      <c r="BN4" s="34">
        <v>0.16111111111111293</v>
      </c>
      <c r="BO4" s="34">
        <v>0.16666666666666702</v>
      </c>
    </row>
    <row r="5" spans="1:67" x14ac:dyDescent="0.3">
      <c r="A5" s="28">
        <v>1</v>
      </c>
      <c r="B5" s="35">
        <v>37.232841002578297</v>
      </c>
      <c r="C5" s="24">
        <v>1</v>
      </c>
      <c r="D5" s="35">
        <v>37.232841002578297</v>
      </c>
      <c r="E5" s="28">
        <v>37.295017308278503</v>
      </c>
      <c r="F5" s="28">
        <v>37.585804220572598</v>
      </c>
      <c r="G5" s="28">
        <v>37.750303513887303</v>
      </c>
      <c r="H5" s="28">
        <v>38.078154819328702</v>
      </c>
      <c r="I5" s="28">
        <v>38.238249896249201</v>
      </c>
      <c r="J5" s="28">
        <v>38.472135263483402</v>
      </c>
      <c r="K5" s="28">
        <v>38.662077192925103</v>
      </c>
      <c r="L5" s="28">
        <v>38.8773179488214</v>
      </c>
      <c r="M5" s="28">
        <v>38.907786047578099</v>
      </c>
      <c r="N5" s="28">
        <v>38.936575279340701</v>
      </c>
      <c r="O5" s="28">
        <v>38.936576279340699</v>
      </c>
      <c r="P5" s="28">
        <v>38.639239346101398</v>
      </c>
      <c r="Q5" s="28">
        <v>38.5898730184296</v>
      </c>
      <c r="R5" s="28">
        <v>38.589872018429602</v>
      </c>
      <c r="S5" s="28">
        <v>38.4432844919858</v>
      </c>
      <c r="T5" s="28">
        <v>38.394644772255198</v>
      </c>
      <c r="U5" s="28">
        <v>38.375745997533201</v>
      </c>
      <c r="V5" s="28">
        <v>38.221736687000302</v>
      </c>
      <c r="W5" s="28">
        <v>38.152144358108401</v>
      </c>
      <c r="X5" s="28">
        <v>38.093988275622799</v>
      </c>
      <c r="Y5" s="28">
        <v>38.032104960092497</v>
      </c>
      <c r="Z5" s="28">
        <v>38.032103960092499</v>
      </c>
      <c r="AA5" s="28">
        <v>37.992634625244499</v>
      </c>
      <c r="AB5" s="28">
        <v>37.951293360111499</v>
      </c>
      <c r="AC5" s="28">
        <v>37.910562780888597</v>
      </c>
      <c r="AD5" s="28">
        <v>37.869141215812597</v>
      </c>
      <c r="AE5" s="28">
        <v>37.830206320873899</v>
      </c>
      <c r="AF5" s="28">
        <v>37.785197758239399</v>
      </c>
      <c r="AG5" s="28">
        <v>37.695811262528302</v>
      </c>
      <c r="AH5" s="28">
        <v>37.676142016631502</v>
      </c>
      <c r="AI5" s="28">
        <v>37.676141016631497</v>
      </c>
      <c r="AJ5" s="33">
        <v>36.8274698962231</v>
      </c>
      <c r="AK5" s="28">
        <v>37.1494875092597</v>
      </c>
      <c r="AL5" s="28">
        <v>37.222654637178898</v>
      </c>
      <c r="AM5" s="28">
        <v>37.341402806502401</v>
      </c>
      <c r="AN5" s="28">
        <v>37.341403806502399</v>
      </c>
      <c r="AO5" s="28">
        <v>37.3759365372999</v>
      </c>
      <c r="AP5" s="28">
        <v>37.375937537299897</v>
      </c>
      <c r="AQ5" s="28">
        <v>37.375938537299902</v>
      </c>
      <c r="AR5" s="28">
        <v>37.416137293703798</v>
      </c>
      <c r="AS5" s="28">
        <v>37.442394206292001</v>
      </c>
      <c r="AT5" s="28">
        <v>37.404716806169397</v>
      </c>
      <c r="AU5" s="28">
        <v>37.404715806169399</v>
      </c>
      <c r="AV5" s="28">
        <v>37.286717078121001</v>
      </c>
      <c r="AW5" s="28">
        <v>37.273471751501901</v>
      </c>
      <c r="AX5" s="28">
        <v>37.197964646391803</v>
      </c>
      <c r="AY5" s="28">
        <v>37.197963646391798</v>
      </c>
      <c r="AZ5" s="28">
        <v>37.197962646391801</v>
      </c>
      <c r="BA5" s="28">
        <v>37.197961646391803</v>
      </c>
      <c r="BB5" s="28">
        <v>37.045323934854999</v>
      </c>
      <c r="BC5" s="28">
        <v>36.900570090936299</v>
      </c>
      <c r="BD5" s="28">
        <v>36.790376951558102</v>
      </c>
      <c r="BE5" s="28">
        <v>36.6997867952376</v>
      </c>
      <c r="BF5" s="28">
        <v>36.650254469602103</v>
      </c>
      <c r="BG5" s="28">
        <v>36.498276319004098</v>
      </c>
      <c r="BH5" s="28">
        <v>36.364149893964402</v>
      </c>
      <c r="BI5" s="28">
        <v>36.2238763547345</v>
      </c>
      <c r="BJ5" s="28">
        <v>36.223875354734503</v>
      </c>
      <c r="BK5" s="28">
        <v>36.204508954814202</v>
      </c>
      <c r="BL5" s="28">
        <v>36.127804386104103</v>
      </c>
      <c r="BM5" s="28">
        <v>36.127803386104098</v>
      </c>
      <c r="BN5" s="28">
        <v>36.127802386104101</v>
      </c>
      <c r="BO5" s="28">
        <v>36.127801386104103</v>
      </c>
    </row>
    <row r="6" spans="1:67" x14ac:dyDescent="0.3">
      <c r="A6" s="28">
        <v>2</v>
      </c>
      <c r="B6" s="35">
        <v>36.359650162923302</v>
      </c>
      <c r="C6" s="24">
        <v>2</v>
      </c>
      <c r="D6" s="35">
        <v>36.359650162923302</v>
      </c>
      <c r="E6" s="28">
        <v>36.612235827426801</v>
      </c>
      <c r="F6" s="28">
        <v>36.895532283769697</v>
      </c>
      <c r="G6" s="28">
        <v>37.0559716374011</v>
      </c>
      <c r="H6" s="28">
        <v>37.350411677426798</v>
      </c>
      <c r="I6" s="28">
        <v>37.486619103034002</v>
      </c>
      <c r="J6" s="28">
        <v>37.648936900633899</v>
      </c>
      <c r="K6" s="28">
        <v>37.787120577483599</v>
      </c>
      <c r="L6" s="28">
        <v>37.951579816178501</v>
      </c>
      <c r="M6" s="28">
        <v>37.956489691424501</v>
      </c>
      <c r="N6" s="28">
        <v>37.976183460407903</v>
      </c>
      <c r="O6" s="28">
        <v>37.902358277830402</v>
      </c>
      <c r="P6" s="28">
        <v>37.726750403975899</v>
      </c>
      <c r="Q6" s="28">
        <v>37.714441220982003</v>
      </c>
      <c r="R6" s="28">
        <v>37.714440220981999</v>
      </c>
      <c r="S6" s="28">
        <v>37.662451108101301</v>
      </c>
      <c r="T6" s="28">
        <v>37.6498365966942</v>
      </c>
      <c r="U6" s="28">
        <v>37.649835596694203</v>
      </c>
      <c r="V6" s="28">
        <v>37.519324850545097</v>
      </c>
      <c r="W6" s="28">
        <v>37.463015420693097</v>
      </c>
      <c r="X6" s="28">
        <v>37.406787250172201</v>
      </c>
      <c r="Y6" s="28">
        <v>37.348991648635099</v>
      </c>
      <c r="Z6" s="28">
        <v>37.348990648635102</v>
      </c>
      <c r="AA6" s="28">
        <v>37.311541204016599</v>
      </c>
      <c r="AB6" s="28">
        <v>37.2719327213809</v>
      </c>
      <c r="AC6" s="28">
        <v>37.231212300072201</v>
      </c>
      <c r="AD6" s="28">
        <v>37.192812320482098</v>
      </c>
      <c r="AE6" s="28">
        <v>37.151929026804901</v>
      </c>
      <c r="AF6" s="28">
        <v>37.112008538883998</v>
      </c>
      <c r="AG6" s="28">
        <v>37.023906329226001</v>
      </c>
      <c r="AH6" s="28">
        <v>37.004577977647997</v>
      </c>
      <c r="AI6" s="28">
        <v>37.004576977648</v>
      </c>
      <c r="AJ6" s="33">
        <v>37.368007259746399</v>
      </c>
      <c r="AK6" s="28">
        <v>37.567345564532303</v>
      </c>
      <c r="AL6" s="28">
        <v>37.6490272431611</v>
      </c>
      <c r="AM6" s="28">
        <v>37.798018784788603</v>
      </c>
      <c r="AN6" s="28">
        <v>37.7980197847886</v>
      </c>
      <c r="AO6" s="28">
        <v>37.879370917979699</v>
      </c>
      <c r="AP6" s="28">
        <v>37.899840290636</v>
      </c>
      <c r="AQ6" s="28">
        <v>37.931329446049702</v>
      </c>
      <c r="AR6" s="28">
        <v>37.990572800391398</v>
      </c>
      <c r="AS6" s="28">
        <v>38.022926998950098</v>
      </c>
      <c r="AT6" s="28">
        <v>37.976806984142101</v>
      </c>
      <c r="AU6" s="28">
        <v>37.958751019548899</v>
      </c>
      <c r="AV6" s="28">
        <v>37.8318629577007</v>
      </c>
      <c r="AW6" s="28">
        <v>37.790744576545997</v>
      </c>
      <c r="AX6" s="28">
        <v>37.688823182524096</v>
      </c>
      <c r="AY6" s="28">
        <v>37.688822182524198</v>
      </c>
      <c r="AZ6" s="28">
        <v>37.688821182524201</v>
      </c>
      <c r="BA6" s="28">
        <v>37.666644026434</v>
      </c>
      <c r="BB6" s="28">
        <v>37.480739529252197</v>
      </c>
      <c r="BC6" s="28">
        <v>37.323712458110002</v>
      </c>
      <c r="BD6" s="28">
        <v>37.224763193467503</v>
      </c>
      <c r="BE6" s="28">
        <v>37.137860059000197</v>
      </c>
      <c r="BF6" s="28">
        <v>37.089884057347597</v>
      </c>
      <c r="BG6" s="28">
        <v>36.940223084308002</v>
      </c>
      <c r="BH6" s="28">
        <v>36.797838238232799</v>
      </c>
      <c r="BI6" s="28">
        <v>36.651662952424701</v>
      </c>
      <c r="BJ6" s="28">
        <v>36.651661952424703</v>
      </c>
      <c r="BK6" s="28">
        <v>36.631668710578701</v>
      </c>
      <c r="BL6" s="28">
        <v>36.552811778819603</v>
      </c>
      <c r="BM6" s="28">
        <v>36.552810778819598</v>
      </c>
      <c r="BN6" s="28">
        <v>36.552809778819601</v>
      </c>
      <c r="BO6" s="28">
        <v>36.552808778819603</v>
      </c>
    </row>
    <row r="7" spans="1:67" x14ac:dyDescent="0.3">
      <c r="A7" s="28">
        <v>3</v>
      </c>
      <c r="B7" s="35">
        <v>36.5616060949637</v>
      </c>
      <c r="C7" s="24">
        <v>3</v>
      </c>
      <c r="D7" s="35">
        <v>36.5616060949637</v>
      </c>
      <c r="E7" s="28">
        <v>36.7688331701168</v>
      </c>
      <c r="F7" s="28">
        <v>37.042804805291603</v>
      </c>
      <c r="G7" s="28">
        <v>37.198690783590401</v>
      </c>
      <c r="H7" s="28">
        <v>37.501644938760101</v>
      </c>
      <c r="I7" s="28">
        <v>37.638173480836997</v>
      </c>
      <c r="J7" s="28">
        <v>37.799943067944703</v>
      </c>
      <c r="K7" s="28">
        <v>37.922895589300502</v>
      </c>
      <c r="L7" s="28">
        <v>38.124093265134597</v>
      </c>
      <c r="M7" s="28">
        <v>38.132356120730996</v>
      </c>
      <c r="N7" s="28">
        <v>38.153591647106097</v>
      </c>
      <c r="O7" s="28">
        <v>38.153592647106102</v>
      </c>
      <c r="P7" s="28">
        <v>37.880903795711902</v>
      </c>
      <c r="Q7" s="28">
        <v>37.861127468711899</v>
      </c>
      <c r="R7" s="28">
        <v>37.861126468711902</v>
      </c>
      <c r="S7" s="28">
        <v>37.789009210990301</v>
      </c>
      <c r="T7" s="28">
        <v>37.768427798107197</v>
      </c>
      <c r="U7" s="28">
        <v>37.7684267981072</v>
      </c>
      <c r="V7" s="28">
        <v>37.617060959212203</v>
      </c>
      <c r="W7" s="28">
        <v>37.555196281413401</v>
      </c>
      <c r="X7" s="28">
        <v>37.505559813241</v>
      </c>
      <c r="Y7" s="28">
        <v>37.447384950523897</v>
      </c>
      <c r="Z7" s="28">
        <v>37.4473839505239</v>
      </c>
      <c r="AA7" s="28">
        <v>37.408344706437802</v>
      </c>
      <c r="AB7" s="28">
        <v>37.369518753608098</v>
      </c>
      <c r="AC7" s="28">
        <v>37.330565581411399</v>
      </c>
      <c r="AD7" s="28">
        <v>37.291325956590399</v>
      </c>
      <c r="AE7" s="28">
        <v>37.252009354328102</v>
      </c>
      <c r="AF7" s="28">
        <v>37.213604352480097</v>
      </c>
      <c r="AG7" s="28">
        <v>37.126440439738403</v>
      </c>
      <c r="AH7" s="28">
        <v>37.107191372613897</v>
      </c>
      <c r="AI7" s="28">
        <v>37.1071903726139</v>
      </c>
      <c r="AJ7" s="33">
        <v>37.182627294878898</v>
      </c>
      <c r="AK7" s="28">
        <v>37.391573408929503</v>
      </c>
      <c r="AL7" s="28">
        <v>37.469402451779501</v>
      </c>
      <c r="AM7" s="28">
        <v>37.596484238185802</v>
      </c>
      <c r="AN7" s="28">
        <v>37.596485238185799</v>
      </c>
      <c r="AO7" s="28">
        <v>37.657858917505401</v>
      </c>
      <c r="AP7" s="28">
        <v>37.666174632113901</v>
      </c>
      <c r="AQ7" s="28">
        <v>37.685850661451397</v>
      </c>
      <c r="AR7" s="28">
        <v>37.736811916786998</v>
      </c>
      <c r="AS7" s="28">
        <v>37.771730809733299</v>
      </c>
      <c r="AT7" s="28">
        <v>37.732589166835702</v>
      </c>
      <c r="AU7" s="28">
        <v>37.722462773803301</v>
      </c>
      <c r="AV7" s="28">
        <v>37.606554613444999</v>
      </c>
      <c r="AW7" s="28">
        <v>37.574529256007501</v>
      </c>
      <c r="AX7" s="28">
        <v>37.486012124568802</v>
      </c>
      <c r="AY7" s="28">
        <v>37.486011124568797</v>
      </c>
      <c r="AZ7" s="28">
        <v>37.4860101245688</v>
      </c>
      <c r="BA7" s="28">
        <v>37.484041167388902</v>
      </c>
      <c r="BB7" s="28">
        <v>37.300021260332699</v>
      </c>
      <c r="BC7" s="28">
        <v>37.153960724461498</v>
      </c>
      <c r="BD7" s="28">
        <v>37.055218489919497</v>
      </c>
      <c r="BE7" s="28">
        <v>36.967526273008602</v>
      </c>
      <c r="BF7" s="28">
        <v>36.909832667776399</v>
      </c>
      <c r="BG7" s="28">
        <v>36.753738980080797</v>
      </c>
      <c r="BH7" s="28">
        <v>36.610062269326399</v>
      </c>
      <c r="BI7" s="28">
        <v>36.4743983433913</v>
      </c>
      <c r="BJ7" s="28">
        <v>36.474397343391303</v>
      </c>
      <c r="BK7" s="28">
        <v>36.449067077440397</v>
      </c>
      <c r="BL7" s="28">
        <v>36.369487956803702</v>
      </c>
      <c r="BM7" s="28">
        <v>36.369486956803698</v>
      </c>
      <c r="BN7" s="28">
        <v>36.3694859568037</v>
      </c>
      <c r="BO7" s="28">
        <v>36.369484956803703</v>
      </c>
    </row>
    <row r="8" spans="1:67" x14ac:dyDescent="0.3">
      <c r="A8" s="28">
        <v>4</v>
      </c>
      <c r="B8" s="35">
        <v>36.713327319841497</v>
      </c>
      <c r="C8" s="24">
        <v>4</v>
      </c>
      <c r="D8" s="35">
        <v>36.713327319841497</v>
      </c>
      <c r="E8" s="28">
        <v>36.907495659993998</v>
      </c>
      <c r="F8" s="28">
        <v>37.175090491785198</v>
      </c>
      <c r="G8" s="28">
        <v>37.339057525923401</v>
      </c>
      <c r="H8" s="28">
        <v>37.668012702375201</v>
      </c>
      <c r="I8" s="28">
        <v>37.817388986582202</v>
      </c>
      <c r="J8" s="28">
        <v>37.990667104023998</v>
      </c>
      <c r="K8" s="28">
        <v>38.122722245264498</v>
      </c>
      <c r="L8" s="28">
        <v>38.3326296610404</v>
      </c>
      <c r="M8" s="28">
        <v>38.346875639748802</v>
      </c>
      <c r="N8" s="28">
        <v>38.370949726334601</v>
      </c>
      <c r="O8" s="28">
        <v>38.370950726334598</v>
      </c>
      <c r="P8" s="28">
        <v>38.096261787937003</v>
      </c>
      <c r="Q8" s="28">
        <v>38.068855509257297</v>
      </c>
      <c r="R8" s="28">
        <v>38.068854509257299</v>
      </c>
      <c r="S8" s="28">
        <v>37.980509118373099</v>
      </c>
      <c r="T8" s="28">
        <v>37.953579825877597</v>
      </c>
      <c r="U8" s="28">
        <v>37.950729823718099</v>
      </c>
      <c r="V8" s="28">
        <v>37.8076217566636</v>
      </c>
      <c r="W8" s="28">
        <v>37.746408904823198</v>
      </c>
      <c r="X8" s="28">
        <v>37.696275156442397</v>
      </c>
      <c r="Y8" s="28">
        <v>37.633360580768503</v>
      </c>
      <c r="Z8" s="28">
        <v>37.633359580768499</v>
      </c>
      <c r="AA8" s="28">
        <v>37.594297801555498</v>
      </c>
      <c r="AB8" s="28">
        <v>37.554929450842899</v>
      </c>
      <c r="AC8" s="28">
        <v>37.515687643278902</v>
      </c>
      <c r="AD8" s="28">
        <v>37.476365686869897</v>
      </c>
      <c r="AE8" s="28">
        <v>37.437138995976603</v>
      </c>
      <c r="AF8" s="28">
        <v>37.3965481765118</v>
      </c>
      <c r="AG8" s="28">
        <v>37.301341843451802</v>
      </c>
      <c r="AH8" s="28">
        <v>37.279837274679998</v>
      </c>
      <c r="AI8" s="28">
        <v>37.279836274680001</v>
      </c>
      <c r="AJ8" s="33">
        <v>36.718306533881602</v>
      </c>
      <c r="AK8" s="28">
        <v>37.000123045822903</v>
      </c>
      <c r="AL8" s="28">
        <v>37.071173936154402</v>
      </c>
      <c r="AM8" s="28">
        <v>37.192877796438097</v>
      </c>
      <c r="AN8" s="28">
        <v>37.192878796438102</v>
      </c>
      <c r="AO8" s="28">
        <v>37.220778062855402</v>
      </c>
      <c r="AP8" s="28">
        <v>37.220779062855399</v>
      </c>
      <c r="AQ8" s="28">
        <v>37.220780062855397</v>
      </c>
      <c r="AR8" s="28">
        <v>37.242889174726002</v>
      </c>
      <c r="AS8" s="28">
        <v>37.270540667482798</v>
      </c>
      <c r="AT8" s="28">
        <v>37.236972637614301</v>
      </c>
      <c r="AU8" s="28">
        <v>37.236971637614303</v>
      </c>
      <c r="AV8" s="28">
        <v>37.147565959412098</v>
      </c>
      <c r="AW8" s="28">
        <v>37.138386928428403</v>
      </c>
      <c r="AX8" s="28">
        <v>37.071855648786098</v>
      </c>
      <c r="AY8" s="28">
        <v>37.0718546487861</v>
      </c>
      <c r="AZ8" s="28">
        <v>37.071853648786103</v>
      </c>
      <c r="BA8" s="28">
        <v>37.071852648786098</v>
      </c>
      <c r="BB8" s="28">
        <v>36.9259637306874</v>
      </c>
      <c r="BC8" s="28">
        <v>36.769806718588598</v>
      </c>
      <c r="BD8" s="28">
        <v>36.669388188625</v>
      </c>
      <c r="BE8" s="28">
        <v>36.575849034366101</v>
      </c>
      <c r="BF8" s="28">
        <v>36.527372528871098</v>
      </c>
      <c r="BG8" s="28">
        <v>36.353088309385001</v>
      </c>
      <c r="BH8" s="28">
        <v>36.210591382347602</v>
      </c>
      <c r="BI8" s="28">
        <v>36.0728576694883</v>
      </c>
      <c r="BJ8" s="28">
        <v>36.072856669488303</v>
      </c>
      <c r="BK8" s="28">
        <v>36.051399896953598</v>
      </c>
      <c r="BL8" s="28">
        <v>35.968694895261201</v>
      </c>
      <c r="BM8" s="28">
        <v>35.968693895261197</v>
      </c>
      <c r="BN8" s="28">
        <v>35.968692895261199</v>
      </c>
      <c r="BO8" s="28">
        <v>35.968691895261202</v>
      </c>
    </row>
    <row r="9" spans="1:67" x14ac:dyDescent="0.3">
      <c r="A9" s="28">
        <v>5</v>
      </c>
      <c r="B9" s="35">
        <v>36.228867437573001</v>
      </c>
      <c r="C9" s="24">
        <v>5</v>
      </c>
      <c r="D9" s="35">
        <v>36.228867437573001</v>
      </c>
      <c r="E9" s="28">
        <v>36.516974895805603</v>
      </c>
      <c r="F9" s="28">
        <v>36.827637970921003</v>
      </c>
      <c r="G9" s="28">
        <v>36.977017595052601</v>
      </c>
      <c r="H9" s="28">
        <v>37.293807890616002</v>
      </c>
      <c r="I9" s="28">
        <v>37.426892737970398</v>
      </c>
      <c r="J9" s="28">
        <v>37.579962913315597</v>
      </c>
      <c r="K9" s="28">
        <v>37.6979731551301</v>
      </c>
      <c r="L9" s="28">
        <v>37.859411585492403</v>
      </c>
      <c r="M9" s="28">
        <v>37.8611149639042</v>
      </c>
      <c r="N9" s="28">
        <v>37.882825366163701</v>
      </c>
      <c r="O9" s="28">
        <v>37.882826366163698</v>
      </c>
      <c r="P9" s="28">
        <v>37.607658689464998</v>
      </c>
      <c r="Q9" s="28">
        <v>37.600618970344001</v>
      </c>
      <c r="R9" s="28">
        <v>37.600617970343997</v>
      </c>
      <c r="S9" s="28">
        <v>37.5551618344753</v>
      </c>
      <c r="T9" s="28">
        <v>37.546712471890103</v>
      </c>
      <c r="U9" s="28">
        <v>37.546711471890099</v>
      </c>
      <c r="V9" s="28">
        <v>37.417167487584898</v>
      </c>
      <c r="W9" s="28">
        <v>37.358932986231999</v>
      </c>
      <c r="X9" s="28">
        <v>37.312499933645299</v>
      </c>
      <c r="Y9" s="28">
        <v>37.255083206643398</v>
      </c>
      <c r="Z9" s="28">
        <v>37.255082206643401</v>
      </c>
      <c r="AA9" s="28">
        <v>37.217205584532302</v>
      </c>
      <c r="AB9" s="28">
        <v>37.1753565969085</v>
      </c>
      <c r="AC9" s="28">
        <v>37.136472437517398</v>
      </c>
      <c r="AD9" s="28">
        <v>37.098004963345701</v>
      </c>
      <c r="AE9" s="28">
        <v>37.0542242725774</v>
      </c>
      <c r="AF9" s="28">
        <v>37.0155765142758</v>
      </c>
      <c r="AG9" s="28">
        <v>36.9277994960377</v>
      </c>
      <c r="AH9" s="28">
        <v>36.907190290312101</v>
      </c>
      <c r="AI9" s="28">
        <v>36.907189290312097</v>
      </c>
      <c r="AJ9" s="33">
        <v>36.9590455086026</v>
      </c>
      <c r="AK9" s="28">
        <v>37.202367315961403</v>
      </c>
      <c r="AL9" s="28">
        <v>37.287803987455298</v>
      </c>
      <c r="AM9" s="28">
        <v>37.406885512638901</v>
      </c>
      <c r="AN9" s="28">
        <v>37.406886512638899</v>
      </c>
      <c r="AO9" s="28">
        <v>37.465628846381797</v>
      </c>
      <c r="AP9" s="28">
        <v>37.465629846381802</v>
      </c>
      <c r="AQ9" s="28">
        <v>37.474239109353</v>
      </c>
      <c r="AR9" s="28">
        <v>37.521041907943399</v>
      </c>
      <c r="AS9" s="28">
        <v>37.549459643771897</v>
      </c>
      <c r="AT9" s="28">
        <v>37.5117396239283</v>
      </c>
      <c r="AU9" s="28">
        <v>37.508978101596497</v>
      </c>
      <c r="AV9" s="28">
        <v>37.396633177756499</v>
      </c>
      <c r="AW9" s="28">
        <v>37.377703222131601</v>
      </c>
      <c r="AX9" s="28">
        <v>37.281356495962001</v>
      </c>
      <c r="AY9" s="28">
        <v>37.281355495962003</v>
      </c>
      <c r="AZ9" s="28">
        <v>37.281354495961999</v>
      </c>
      <c r="BA9" s="28">
        <v>37.281353495962001</v>
      </c>
      <c r="BB9" s="28">
        <v>37.099006593217801</v>
      </c>
      <c r="BC9" s="28">
        <v>36.9544218980529</v>
      </c>
      <c r="BD9" s="28">
        <v>36.859013764341398</v>
      </c>
      <c r="BE9" s="28">
        <v>36.768387164329802</v>
      </c>
      <c r="BF9" s="28">
        <v>36.720253093238497</v>
      </c>
      <c r="BG9" s="28">
        <v>36.578460983117402</v>
      </c>
      <c r="BH9" s="28">
        <v>36.441783770906497</v>
      </c>
      <c r="BI9" s="28">
        <v>36.306598460591502</v>
      </c>
      <c r="BJ9" s="28">
        <v>36.306597460591497</v>
      </c>
      <c r="BK9" s="28">
        <v>36.286299711968297</v>
      </c>
      <c r="BL9" s="28">
        <v>36.191842115781697</v>
      </c>
      <c r="BM9" s="28">
        <v>36.191841115781699</v>
      </c>
      <c r="BN9" s="28">
        <v>36.191840115781702</v>
      </c>
      <c r="BO9" s="28">
        <v>36.191839115781697</v>
      </c>
    </row>
    <row r="10" spans="1:67" x14ac:dyDescent="0.3">
      <c r="A10" s="28">
        <v>6</v>
      </c>
      <c r="B10" s="35">
        <v>36.549153005801401</v>
      </c>
      <c r="C10" s="24">
        <v>6</v>
      </c>
      <c r="D10" s="35">
        <v>36.549153005801401</v>
      </c>
      <c r="E10" s="28">
        <v>36.761357300853298</v>
      </c>
      <c r="F10" s="28">
        <v>37.037390449303899</v>
      </c>
      <c r="G10" s="28">
        <v>37.198607975114697</v>
      </c>
      <c r="H10" s="28">
        <v>37.513469843840902</v>
      </c>
      <c r="I10" s="28">
        <v>37.647736850150999</v>
      </c>
      <c r="J10" s="28">
        <v>37.809599383075998</v>
      </c>
      <c r="K10" s="28">
        <v>37.933851898985402</v>
      </c>
      <c r="L10" s="28">
        <v>38.103864075621701</v>
      </c>
      <c r="M10" s="28">
        <v>38.112285685578797</v>
      </c>
      <c r="N10" s="28">
        <v>38.134673196457904</v>
      </c>
      <c r="O10" s="28">
        <v>38.048351516744297</v>
      </c>
      <c r="P10" s="28">
        <v>37.8655340083723</v>
      </c>
      <c r="Q10" s="28">
        <v>37.8474461290688</v>
      </c>
      <c r="R10" s="28">
        <v>37.847445129068802</v>
      </c>
      <c r="S10" s="28">
        <v>37.774667148604699</v>
      </c>
      <c r="T10" s="28">
        <v>37.756031765682302</v>
      </c>
      <c r="U10" s="28">
        <v>37.756030765682297</v>
      </c>
      <c r="V10" s="28">
        <v>37.6185970923895</v>
      </c>
      <c r="W10" s="28">
        <v>37.561263978770697</v>
      </c>
      <c r="X10" s="28">
        <v>37.512896715107999</v>
      </c>
      <c r="Y10" s="28">
        <v>37.455247998908803</v>
      </c>
      <c r="Z10" s="28">
        <v>37.455246998908798</v>
      </c>
      <c r="AA10" s="28">
        <v>37.417532967630102</v>
      </c>
      <c r="AB10" s="28">
        <v>37.376324755807801</v>
      </c>
      <c r="AC10" s="28">
        <v>37.337060682897302</v>
      </c>
      <c r="AD10" s="28">
        <v>37.298417502785803</v>
      </c>
      <c r="AE10" s="28">
        <v>37.259478123618202</v>
      </c>
      <c r="AF10" s="28">
        <v>37.2189025642042</v>
      </c>
      <c r="AG10" s="28">
        <v>37.132456135901897</v>
      </c>
      <c r="AH10" s="28">
        <v>37.113228050567301</v>
      </c>
      <c r="AI10" s="28">
        <v>37.113227050567303</v>
      </c>
      <c r="AJ10" s="33">
        <v>37.5377454924975</v>
      </c>
      <c r="AK10" s="28">
        <v>37.701188758174197</v>
      </c>
      <c r="AL10" s="28">
        <v>37.786519303676499</v>
      </c>
      <c r="AM10" s="28">
        <v>37.926503243808902</v>
      </c>
      <c r="AN10" s="28">
        <v>37.9265042438089</v>
      </c>
      <c r="AO10" s="28">
        <v>38.025334387028799</v>
      </c>
      <c r="AP10" s="28">
        <v>38.053570826084602</v>
      </c>
      <c r="AQ10" s="28">
        <v>38.092001251070997</v>
      </c>
      <c r="AR10" s="28">
        <v>38.158520179680899</v>
      </c>
      <c r="AS10" s="28">
        <v>38.194403301682897</v>
      </c>
      <c r="AT10" s="28">
        <v>38.150992495917599</v>
      </c>
      <c r="AU10" s="28">
        <v>38.125614044335997</v>
      </c>
      <c r="AV10" s="28">
        <v>37.9913736578509</v>
      </c>
      <c r="AW10" s="28">
        <v>37.939380403627901</v>
      </c>
      <c r="AX10" s="28">
        <v>37.826437696239303</v>
      </c>
      <c r="AY10" s="28">
        <v>37.826436696239298</v>
      </c>
      <c r="AZ10" s="28">
        <v>37.826435696239301</v>
      </c>
      <c r="BA10" s="28">
        <v>37.791190763965503</v>
      </c>
      <c r="BB10" s="28">
        <v>37.600260392481303</v>
      </c>
      <c r="BC10" s="28">
        <v>37.453491863083897</v>
      </c>
      <c r="BD10" s="28">
        <v>37.349139329022798</v>
      </c>
      <c r="BE10" s="28">
        <v>37.259011616357498</v>
      </c>
      <c r="BF10" s="28">
        <v>37.210282033516798</v>
      </c>
      <c r="BG10" s="28">
        <v>37.060434913363999</v>
      </c>
      <c r="BH10" s="28">
        <v>36.919151643028499</v>
      </c>
      <c r="BI10" s="28">
        <v>36.781242918433499</v>
      </c>
      <c r="BJ10" s="28">
        <v>36.781241918433501</v>
      </c>
      <c r="BK10" s="28">
        <v>36.759430154125802</v>
      </c>
      <c r="BL10" s="28">
        <v>36.6786557883472</v>
      </c>
      <c r="BM10" s="28">
        <v>36.678654788347202</v>
      </c>
      <c r="BN10" s="28">
        <v>36.678653788347198</v>
      </c>
      <c r="BO10" s="28">
        <v>36.6786527883472</v>
      </c>
    </row>
    <row r="11" spans="1:67" x14ac:dyDescent="0.3">
      <c r="A11" s="28">
        <v>7</v>
      </c>
      <c r="B11" s="35">
        <v>36.547956084719999</v>
      </c>
      <c r="C11" s="24">
        <v>7</v>
      </c>
      <c r="D11" s="35">
        <v>36.547956084719999</v>
      </c>
      <c r="E11" s="28">
        <v>36.767003467329303</v>
      </c>
      <c r="F11" s="28">
        <v>37.036772761476897</v>
      </c>
      <c r="G11" s="28">
        <v>37.189844441722997</v>
      </c>
      <c r="H11" s="28">
        <v>37.488152992310098</v>
      </c>
      <c r="I11" s="28">
        <v>37.620984834940003</v>
      </c>
      <c r="J11" s="28">
        <v>37.786844629784802</v>
      </c>
      <c r="K11" s="28">
        <v>37.911032212783503</v>
      </c>
      <c r="L11" s="28">
        <v>38.080880343079698</v>
      </c>
      <c r="M11" s="28">
        <v>38.089393140608003</v>
      </c>
      <c r="N11" s="28">
        <v>38.109887012063801</v>
      </c>
      <c r="O11" s="28">
        <v>38.034053891533901</v>
      </c>
      <c r="P11" s="28">
        <v>37.855598167719201</v>
      </c>
      <c r="Q11" s="28">
        <v>37.838273553367202</v>
      </c>
      <c r="R11" s="28">
        <v>37.838272553367197</v>
      </c>
      <c r="S11" s="28">
        <v>37.765040664300798</v>
      </c>
      <c r="T11" s="28">
        <v>37.7462585472528</v>
      </c>
      <c r="U11" s="28">
        <v>37.746257547252803</v>
      </c>
      <c r="V11" s="28">
        <v>37.611942983786797</v>
      </c>
      <c r="W11" s="28">
        <v>37.553525069132498</v>
      </c>
      <c r="X11" s="28">
        <v>37.502063462790197</v>
      </c>
      <c r="Y11" s="28">
        <v>37.443412943474797</v>
      </c>
      <c r="Z11" s="28">
        <v>37.4434119434748</v>
      </c>
      <c r="AA11" s="28">
        <v>37.403219540042102</v>
      </c>
      <c r="AB11" s="28">
        <v>37.364830917891901</v>
      </c>
      <c r="AC11" s="28">
        <v>37.324709184076603</v>
      </c>
      <c r="AD11" s="28">
        <v>37.286176687632803</v>
      </c>
      <c r="AE11" s="28">
        <v>37.245620307861898</v>
      </c>
      <c r="AF11" s="28">
        <v>37.204119240282701</v>
      </c>
      <c r="AG11" s="28">
        <v>37.116349347561901</v>
      </c>
      <c r="AH11" s="28">
        <v>37.096785685605703</v>
      </c>
      <c r="AI11" s="28">
        <v>37.096784685605698</v>
      </c>
      <c r="AJ11" s="33">
        <v>36.479464504460502</v>
      </c>
      <c r="AK11" s="28">
        <v>36.785685234341102</v>
      </c>
      <c r="AL11" s="28">
        <v>36.850721742956701</v>
      </c>
      <c r="AM11" s="28">
        <v>36.962698119452902</v>
      </c>
      <c r="AN11" s="28">
        <v>36.9626991194529</v>
      </c>
      <c r="AO11" s="28">
        <v>36.962700119452897</v>
      </c>
      <c r="AP11" s="28">
        <v>36.962701119452902</v>
      </c>
      <c r="AQ11" s="28">
        <v>36.962702119452899</v>
      </c>
      <c r="AR11" s="28">
        <v>36.962703119452897</v>
      </c>
      <c r="AS11" s="28">
        <v>36.963286936509199</v>
      </c>
      <c r="AT11" s="28">
        <v>36.933024905115602</v>
      </c>
      <c r="AU11" s="28">
        <v>36.933023905115597</v>
      </c>
      <c r="AV11" s="28">
        <v>36.864346812775302</v>
      </c>
      <c r="AW11" s="28">
        <v>36.864345812775298</v>
      </c>
      <c r="AX11" s="28">
        <v>36.813385535038798</v>
      </c>
      <c r="AY11" s="28">
        <v>36.8133845350388</v>
      </c>
      <c r="AZ11" s="28">
        <v>36.813383535038803</v>
      </c>
      <c r="BA11" s="28">
        <v>36.813382535038798</v>
      </c>
      <c r="BB11" s="28">
        <v>36.690867111409197</v>
      </c>
      <c r="BC11" s="28">
        <v>36.544556947885397</v>
      </c>
      <c r="BD11" s="28">
        <v>36.442235768540598</v>
      </c>
      <c r="BE11" s="28">
        <v>36.3539456229121</v>
      </c>
      <c r="BF11" s="28">
        <v>36.304916582923099</v>
      </c>
      <c r="BG11" s="28">
        <v>36.156949275323797</v>
      </c>
      <c r="BH11" s="28">
        <v>36.006904660320501</v>
      </c>
      <c r="BI11" s="28">
        <v>35.869799626936903</v>
      </c>
      <c r="BJ11" s="28">
        <v>35.869798626936898</v>
      </c>
      <c r="BK11" s="28">
        <v>35.850379729009703</v>
      </c>
      <c r="BL11" s="28">
        <v>35.772934016836899</v>
      </c>
      <c r="BM11" s="28">
        <v>35.772933016836902</v>
      </c>
      <c r="BN11" s="28">
        <v>35.772932016836897</v>
      </c>
      <c r="BO11" s="28">
        <v>35.7729310168369</v>
      </c>
    </row>
    <row r="12" spans="1:67" x14ac:dyDescent="0.3">
      <c r="A12" s="28">
        <v>8</v>
      </c>
      <c r="B12" s="35">
        <v>35.8377970600338</v>
      </c>
      <c r="C12" s="24">
        <v>8</v>
      </c>
      <c r="D12" s="35">
        <v>35.8377970600338</v>
      </c>
      <c r="E12" s="28">
        <v>36.215713599997798</v>
      </c>
      <c r="F12" s="28">
        <v>36.468512228300703</v>
      </c>
      <c r="G12" s="28">
        <v>36.612735625848799</v>
      </c>
      <c r="H12" s="28">
        <v>36.896048357618</v>
      </c>
      <c r="I12" s="28">
        <v>37.0021169370997</v>
      </c>
      <c r="J12" s="28">
        <v>37.149905741324197</v>
      </c>
      <c r="K12" s="28">
        <v>37.247963121189997</v>
      </c>
      <c r="L12" s="28">
        <v>37.422397353619097</v>
      </c>
      <c r="M12" s="28">
        <v>37.422398353619101</v>
      </c>
      <c r="N12" s="28">
        <v>37.424142930296597</v>
      </c>
      <c r="O12" s="28">
        <v>37.424143930296601</v>
      </c>
      <c r="P12" s="28">
        <v>37.201939656112202</v>
      </c>
      <c r="Q12" s="28">
        <v>37.201938656112198</v>
      </c>
      <c r="R12" s="28">
        <v>37.2019376561122</v>
      </c>
      <c r="S12" s="28">
        <v>37.201936656112203</v>
      </c>
      <c r="T12" s="28">
        <v>37.201935656112198</v>
      </c>
      <c r="U12" s="28">
        <v>37.201934656112201</v>
      </c>
      <c r="V12" s="28">
        <v>37.1076500873722</v>
      </c>
      <c r="W12" s="28">
        <v>37.059866663171597</v>
      </c>
      <c r="X12" s="28">
        <v>37.015203256325599</v>
      </c>
      <c r="Y12" s="28">
        <v>36.958576559904799</v>
      </c>
      <c r="Z12" s="28">
        <v>36.958575559904801</v>
      </c>
      <c r="AA12" s="28">
        <v>36.922225244785302</v>
      </c>
      <c r="AB12" s="28">
        <v>36.879471210259801</v>
      </c>
      <c r="AC12" s="28">
        <v>36.839972070909198</v>
      </c>
      <c r="AD12" s="28">
        <v>36.801419368984803</v>
      </c>
      <c r="AE12" s="28">
        <v>36.762674529594896</v>
      </c>
      <c r="AF12" s="28">
        <v>36.723434299697601</v>
      </c>
      <c r="AG12" s="28">
        <v>36.637031820636899</v>
      </c>
      <c r="AH12" s="28">
        <v>36.617053856507802</v>
      </c>
      <c r="AI12" s="28">
        <v>36.617052856507797</v>
      </c>
      <c r="AJ12" s="33">
        <v>36.997889811759002</v>
      </c>
      <c r="AK12" s="28">
        <v>37.235964359780603</v>
      </c>
      <c r="AL12" s="28">
        <v>37.309588830314297</v>
      </c>
      <c r="AM12" s="28">
        <v>37.447394445002701</v>
      </c>
      <c r="AN12" s="28">
        <v>37.447395445002698</v>
      </c>
      <c r="AO12" s="28">
        <v>37.492187200079201</v>
      </c>
      <c r="AP12" s="28">
        <v>37.492787187991198</v>
      </c>
      <c r="AQ12" s="28">
        <v>37.504301472071901</v>
      </c>
      <c r="AR12" s="28">
        <v>37.549318453033599</v>
      </c>
      <c r="AS12" s="28">
        <v>37.579208456772697</v>
      </c>
      <c r="AT12" s="28">
        <v>37.542323233214702</v>
      </c>
      <c r="AU12" s="28">
        <v>37.538136834555502</v>
      </c>
      <c r="AV12" s="28">
        <v>37.393109474214199</v>
      </c>
      <c r="AW12" s="28">
        <v>37.373693728921701</v>
      </c>
      <c r="AX12" s="28">
        <v>37.296418805373001</v>
      </c>
      <c r="AY12" s="28">
        <v>37.296417805372997</v>
      </c>
      <c r="AZ12" s="28">
        <v>37.296416805372999</v>
      </c>
      <c r="BA12" s="28">
        <v>37.296415805373002</v>
      </c>
      <c r="BB12" s="28">
        <v>37.141202198952399</v>
      </c>
      <c r="BC12" s="28">
        <v>36.993128927578603</v>
      </c>
      <c r="BD12" s="28">
        <v>36.897760104861703</v>
      </c>
      <c r="BE12" s="28">
        <v>36.800535843931101</v>
      </c>
      <c r="BF12" s="28">
        <v>36.749288277643501</v>
      </c>
      <c r="BG12" s="28">
        <v>36.607296816513603</v>
      </c>
      <c r="BH12" s="28">
        <v>36.465294394805198</v>
      </c>
      <c r="BI12" s="28">
        <v>36.329315656572803</v>
      </c>
      <c r="BJ12" s="28">
        <v>36.329314656572798</v>
      </c>
      <c r="BK12" s="28">
        <v>36.310335502612901</v>
      </c>
      <c r="BL12" s="28">
        <v>36.2326665247435</v>
      </c>
      <c r="BM12" s="28">
        <v>36.232665524743503</v>
      </c>
      <c r="BN12" s="28">
        <v>36.232664524743498</v>
      </c>
      <c r="BO12" s="28">
        <v>36.232663524743501</v>
      </c>
    </row>
    <row r="13" spans="1:67" x14ac:dyDescent="0.3">
      <c r="A13" s="28">
        <v>9</v>
      </c>
      <c r="B13" s="35">
        <v>36.960384721131298</v>
      </c>
      <c r="C13" s="24">
        <v>9</v>
      </c>
      <c r="D13" s="35">
        <v>36.960384721131298</v>
      </c>
      <c r="E13" s="28">
        <v>37.080633906910599</v>
      </c>
      <c r="F13" s="28">
        <v>37.3465824780627</v>
      </c>
      <c r="G13" s="28">
        <v>37.506026560647499</v>
      </c>
      <c r="H13" s="28">
        <v>37.812694337772001</v>
      </c>
      <c r="I13" s="28">
        <v>37.962596791154503</v>
      </c>
      <c r="J13" s="28">
        <v>38.140734682043202</v>
      </c>
      <c r="K13" s="28">
        <v>38.281406769847202</v>
      </c>
      <c r="L13" s="28">
        <v>38.482335766318599</v>
      </c>
      <c r="M13" s="28">
        <v>38.501024925712699</v>
      </c>
      <c r="N13" s="28">
        <v>38.527571153130403</v>
      </c>
      <c r="O13" s="28">
        <v>38.5275721531304</v>
      </c>
      <c r="P13" s="28">
        <v>38.254242351338497</v>
      </c>
      <c r="Q13" s="28">
        <v>38.2201226337436</v>
      </c>
      <c r="R13" s="28">
        <v>38.220121633743602</v>
      </c>
      <c r="S13" s="28">
        <v>38.115030798463302</v>
      </c>
      <c r="T13" s="28">
        <v>38.081278862071201</v>
      </c>
      <c r="U13" s="28">
        <v>38.073782349675199</v>
      </c>
      <c r="V13" s="28">
        <v>37.928140339071298</v>
      </c>
      <c r="W13" s="28">
        <v>37.8647808404587</v>
      </c>
      <c r="X13" s="28">
        <v>37.813039018282197</v>
      </c>
      <c r="Y13" s="28">
        <v>37.745545638246398</v>
      </c>
      <c r="Z13" s="28">
        <v>37.7455446382464</v>
      </c>
      <c r="AA13" s="28">
        <v>37.703773044249303</v>
      </c>
      <c r="AB13" s="28">
        <v>37.663719065432801</v>
      </c>
      <c r="AC13" s="28">
        <v>37.622493598271703</v>
      </c>
      <c r="AD13" s="28">
        <v>37.584015441134198</v>
      </c>
      <c r="AE13" s="28">
        <v>37.543914998572298</v>
      </c>
      <c r="AF13" s="28">
        <v>37.504186697624597</v>
      </c>
      <c r="AG13" s="28">
        <v>37.415903587017503</v>
      </c>
      <c r="AH13" s="28">
        <v>37.396713004724198</v>
      </c>
      <c r="AI13" s="28">
        <v>37.396712004724201</v>
      </c>
      <c r="AJ13" s="33">
        <v>37.437707230352899</v>
      </c>
      <c r="AK13" s="28">
        <v>37.615143571814301</v>
      </c>
      <c r="AL13" s="28">
        <v>37.702745785164097</v>
      </c>
      <c r="AM13" s="28">
        <v>37.841320100886001</v>
      </c>
      <c r="AN13" s="28">
        <v>37.841321100885999</v>
      </c>
      <c r="AO13" s="28">
        <v>37.922644232830301</v>
      </c>
      <c r="AP13" s="28">
        <v>37.945509600794303</v>
      </c>
      <c r="AQ13" s="28">
        <v>37.980551055703003</v>
      </c>
      <c r="AR13" s="28">
        <v>38.0452623515841</v>
      </c>
      <c r="AS13" s="28">
        <v>38.079716579373098</v>
      </c>
      <c r="AT13" s="28">
        <v>38.034854897718802</v>
      </c>
      <c r="AU13" s="28">
        <v>38.016209578361497</v>
      </c>
      <c r="AV13" s="28">
        <v>37.867662094287802</v>
      </c>
      <c r="AW13" s="28">
        <v>37.824402130772</v>
      </c>
      <c r="AX13" s="28">
        <v>37.717478503156997</v>
      </c>
      <c r="AY13" s="28">
        <v>37.717477503156999</v>
      </c>
      <c r="AZ13" s="28">
        <v>37.717476503157002</v>
      </c>
      <c r="BA13" s="28">
        <v>37.684071815471803</v>
      </c>
      <c r="BB13" s="28">
        <v>37.4905690285429</v>
      </c>
      <c r="BC13" s="28">
        <v>37.339226145437202</v>
      </c>
      <c r="BD13" s="28">
        <v>37.231995692374802</v>
      </c>
      <c r="BE13" s="28">
        <v>37.145323154399598</v>
      </c>
      <c r="BF13" s="28">
        <v>37.093241776922703</v>
      </c>
      <c r="BG13" s="28">
        <v>36.936285765604701</v>
      </c>
      <c r="BH13" s="28">
        <v>36.799249537743997</v>
      </c>
      <c r="BI13" s="28">
        <v>36.658247033791298</v>
      </c>
      <c r="BJ13" s="28">
        <v>36.658246033791301</v>
      </c>
      <c r="BK13" s="28">
        <v>36.637963199139001</v>
      </c>
      <c r="BL13" s="28">
        <v>36.552829246120503</v>
      </c>
      <c r="BM13" s="28">
        <v>36.552828246120498</v>
      </c>
      <c r="BN13" s="28">
        <v>36.552827246120501</v>
      </c>
      <c r="BO13" s="28">
        <v>36.552826246120503</v>
      </c>
    </row>
    <row r="14" spans="1:67" x14ac:dyDescent="0.3">
      <c r="A14" s="28">
        <v>10</v>
      </c>
      <c r="B14" s="35">
        <v>36.791469310775398</v>
      </c>
      <c r="C14" s="24">
        <v>10</v>
      </c>
      <c r="D14" s="35">
        <v>36.791469310775398</v>
      </c>
      <c r="E14" s="28">
        <v>36.949008452144902</v>
      </c>
      <c r="F14" s="28">
        <v>37.217307910744502</v>
      </c>
      <c r="G14" s="28">
        <v>37.436011673762003</v>
      </c>
      <c r="H14" s="28">
        <v>37.777417573152299</v>
      </c>
      <c r="I14" s="28">
        <v>37.923336545849899</v>
      </c>
      <c r="J14" s="28">
        <v>38.103110428150103</v>
      </c>
      <c r="K14" s="28">
        <v>38.248347848541897</v>
      </c>
      <c r="L14" s="28">
        <v>38.436177895501103</v>
      </c>
      <c r="M14" s="28">
        <v>38.453582352177399</v>
      </c>
      <c r="N14" s="28">
        <v>38.478939413116898</v>
      </c>
      <c r="O14" s="28">
        <v>38.398892111516901</v>
      </c>
      <c r="P14" s="28">
        <v>38.2073174193049</v>
      </c>
      <c r="Q14" s="28">
        <v>38.1751399065665</v>
      </c>
      <c r="R14" s="28">
        <v>38.175138906566502</v>
      </c>
      <c r="S14" s="28">
        <v>38.069942750696001</v>
      </c>
      <c r="T14" s="28">
        <v>38.038487208734303</v>
      </c>
      <c r="U14" s="28">
        <v>38.0325477312321</v>
      </c>
      <c r="V14" s="28">
        <v>37.877393359784499</v>
      </c>
      <c r="W14" s="28">
        <v>37.814200169511103</v>
      </c>
      <c r="X14" s="28">
        <v>37.760130715455603</v>
      </c>
      <c r="Y14" s="28">
        <v>37.701337390045303</v>
      </c>
      <c r="Z14" s="28">
        <v>37.701336390045299</v>
      </c>
      <c r="AA14" s="28">
        <v>37.662753852684098</v>
      </c>
      <c r="AB14" s="28">
        <v>37.623744045203502</v>
      </c>
      <c r="AC14" s="28">
        <v>37.584826495043401</v>
      </c>
      <c r="AD14" s="28">
        <v>37.543837370780402</v>
      </c>
      <c r="AE14" s="28">
        <v>37.501189919293701</v>
      </c>
      <c r="AF14" s="28">
        <v>37.462370114964202</v>
      </c>
      <c r="AG14" s="28">
        <v>37.372430425224898</v>
      </c>
      <c r="AH14" s="28">
        <v>37.352926374634301</v>
      </c>
      <c r="AI14" s="28">
        <v>37.352925374634303</v>
      </c>
      <c r="AJ14" s="33">
        <v>36.884272437075801</v>
      </c>
      <c r="AK14" s="28">
        <v>37.136244875555803</v>
      </c>
      <c r="AL14" s="28">
        <v>37.207439780808997</v>
      </c>
      <c r="AM14" s="28">
        <v>37.325909119099698</v>
      </c>
      <c r="AN14" s="28">
        <v>37.325910119099703</v>
      </c>
      <c r="AO14" s="28">
        <v>37.362208184017398</v>
      </c>
      <c r="AP14" s="28">
        <v>37.362209184017402</v>
      </c>
      <c r="AQ14" s="28">
        <v>37.3622101840174</v>
      </c>
      <c r="AR14" s="28">
        <v>37.400838384532399</v>
      </c>
      <c r="AS14" s="28">
        <v>37.427233203074799</v>
      </c>
      <c r="AT14" s="28">
        <v>37.388480508863097</v>
      </c>
      <c r="AU14" s="28">
        <v>37.388479508863099</v>
      </c>
      <c r="AV14" s="28">
        <v>37.282953537656397</v>
      </c>
      <c r="AW14" s="28">
        <v>37.268701705962201</v>
      </c>
      <c r="AX14" s="28">
        <v>37.194987706238301</v>
      </c>
      <c r="AY14" s="28">
        <v>37.194986706238303</v>
      </c>
      <c r="AZ14" s="28">
        <v>37.194985706238299</v>
      </c>
      <c r="BA14" s="28">
        <v>37.194984706238301</v>
      </c>
      <c r="BB14" s="28">
        <v>37.027070527356301</v>
      </c>
      <c r="BC14" s="28">
        <v>36.876387298533501</v>
      </c>
      <c r="BD14" s="28">
        <v>36.776141895199899</v>
      </c>
      <c r="BE14" s="28">
        <v>36.689015173840403</v>
      </c>
      <c r="BF14" s="28">
        <v>36.6394417469225</v>
      </c>
      <c r="BG14" s="28">
        <v>36.490829064345199</v>
      </c>
      <c r="BH14" s="28">
        <v>36.354007682426399</v>
      </c>
      <c r="BI14" s="28">
        <v>36.218350692764197</v>
      </c>
      <c r="BJ14" s="28">
        <v>36.2183496927642</v>
      </c>
      <c r="BK14" s="28">
        <v>36.197956297738003</v>
      </c>
      <c r="BL14" s="28">
        <v>36.120371228575898</v>
      </c>
      <c r="BM14" s="28">
        <v>36.120370228575901</v>
      </c>
      <c r="BN14" s="28">
        <v>36.120369228575903</v>
      </c>
      <c r="BO14" s="28">
        <v>36.120368228575899</v>
      </c>
    </row>
    <row r="15" spans="1:67" x14ac:dyDescent="0.3">
      <c r="A15" s="28">
        <v>11</v>
      </c>
      <c r="B15" s="35">
        <v>36.295069132637899</v>
      </c>
      <c r="C15" s="24">
        <v>11</v>
      </c>
      <c r="D15" s="35">
        <v>36.295069132637899</v>
      </c>
      <c r="E15" s="28">
        <v>36.616843849420597</v>
      </c>
      <c r="F15" s="28">
        <v>36.873877738001397</v>
      </c>
      <c r="G15" s="28">
        <v>37.024291656966199</v>
      </c>
      <c r="H15" s="28">
        <v>37.317070648310903</v>
      </c>
      <c r="I15" s="28">
        <v>37.446616227917701</v>
      </c>
      <c r="J15" s="28">
        <v>37.600638379959797</v>
      </c>
      <c r="K15" s="28">
        <v>37.721978323717003</v>
      </c>
      <c r="L15" s="28">
        <v>37.893385210029599</v>
      </c>
      <c r="M15" s="28">
        <v>37.895158320287003</v>
      </c>
      <c r="N15" s="28">
        <v>37.913257620814903</v>
      </c>
      <c r="O15" s="28">
        <v>37.840503786281701</v>
      </c>
      <c r="P15" s="28">
        <v>37.646571999535702</v>
      </c>
      <c r="Q15" s="28">
        <v>37.637834619995402</v>
      </c>
      <c r="R15" s="28">
        <v>37.637833619995398</v>
      </c>
      <c r="S15" s="28">
        <v>37.587700736494199</v>
      </c>
      <c r="T15" s="28">
        <v>37.576468591078999</v>
      </c>
      <c r="U15" s="28">
        <v>37.576467591079002</v>
      </c>
      <c r="V15" s="28">
        <v>37.452006435670597</v>
      </c>
      <c r="W15" s="28">
        <v>37.396371813804301</v>
      </c>
      <c r="X15" s="28">
        <v>37.349746559684</v>
      </c>
      <c r="Y15" s="28">
        <v>37.291084319999399</v>
      </c>
      <c r="Z15" s="28">
        <v>37.291083319999402</v>
      </c>
      <c r="AA15" s="28">
        <v>37.252990129229303</v>
      </c>
      <c r="AB15" s="28">
        <v>37.2088332300414</v>
      </c>
      <c r="AC15" s="28">
        <v>37.167719881515403</v>
      </c>
      <c r="AD15" s="28">
        <v>37.126108464498003</v>
      </c>
      <c r="AE15" s="28">
        <v>37.087372153197002</v>
      </c>
      <c r="AF15" s="28">
        <v>37.048768108705403</v>
      </c>
      <c r="AG15" s="28">
        <v>36.9450624392667</v>
      </c>
      <c r="AH15" s="28">
        <v>36.925237592042201</v>
      </c>
      <c r="AI15" s="28">
        <v>36.925236592042197</v>
      </c>
      <c r="AJ15" s="33">
        <v>36.933021073131897</v>
      </c>
      <c r="AK15" s="28">
        <v>37.174328819105597</v>
      </c>
      <c r="AL15" s="28">
        <v>37.246627314766798</v>
      </c>
      <c r="AM15" s="28">
        <v>37.364630570514997</v>
      </c>
      <c r="AN15" s="28">
        <v>37.364631570515002</v>
      </c>
      <c r="AO15" s="28">
        <v>37.4027822435338</v>
      </c>
      <c r="AP15" s="28">
        <v>37.402783243533797</v>
      </c>
      <c r="AQ15" s="28">
        <v>37.407113298677203</v>
      </c>
      <c r="AR15" s="28">
        <v>37.449125323845699</v>
      </c>
      <c r="AS15" s="28">
        <v>37.475839842273501</v>
      </c>
      <c r="AT15" s="28">
        <v>37.440463425008502</v>
      </c>
      <c r="AU15" s="28">
        <v>37.439432497980803</v>
      </c>
      <c r="AV15" s="28">
        <v>37.334260377813202</v>
      </c>
      <c r="AW15" s="28">
        <v>37.318508240667803</v>
      </c>
      <c r="AX15" s="28">
        <v>37.242309299708602</v>
      </c>
      <c r="AY15" s="28">
        <v>37.242308299708597</v>
      </c>
      <c r="AZ15" s="28">
        <v>37.2423072997086</v>
      </c>
      <c r="BA15" s="28">
        <v>37.242306299708602</v>
      </c>
      <c r="BB15" s="28">
        <v>37.077415708730101</v>
      </c>
      <c r="BC15" s="28">
        <v>36.933880368202097</v>
      </c>
      <c r="BD15" s="28">
        <v>36.837648823472399</v>
      </c>
      <c r="BE15" s="28">
        <v>36.747138908553701</v>
      </c>
      <c r="BF15" s="28">
        <v>36.698626402846699</v>
      </c>
      <c r="BG15" s="28">
        <v>36.555127428269998</v>
      </c>
      <c r="BH15" s="28">
        <v>36.416348959578499</v>
      </c>
      <c r="BI15" s="28">
        <v>36.278765963745201</v>
      </c>
      <c r="BJ15" s="28">
        <v>36.278764963745203</v>
      </c>
      <c r="BK15" s="28">
        <v>36.2594685719653</v>
      </c>
      <c r="BL15" s="28">
        <v>36.182155380007998</v>
      </c>
      <c r="BM15" s="28">
        <v>36.182154380008001</v>
      </c>
      <c r="BN15" s="28">
        <v>36.182153380008003</v>
      </c>
      <c r="BO15" s="28">
        <v>36.182152380007999</v>
      </c>
    </row>
    <row r="16" spans="1:67" x14ac:dyDescent="0.3">
      <c r="A16" s="28">
        <v>12</v>
      </c>
      <c r="B16" s="35">
        <v>36.478853629299799</v>
      </c>
      <c r="C16" s="24">
        <v>12</v>
      </c>
      <c r="D16" s="35">
        <v>36.478853629299799</v>
      </c>
      <c r="E16" s="28">
        <v>36.722552399124098</v>
      </c>
      <c r="F16" s="28">
        <v>36.981346586325202</v>
      </c>
      <c r="G16" s="28">
        <v>37.152867358622899</v>
      </c>
      <c r="H16" s="28">
        <v>37.454053985413402</v>
      </c>
      <c r="I16" s="28">
        <v>37.589299770326598</v>
      </c>
      <c r="J16" s="28">
        <v>37.7495781924599</v>
      </c>
      <c r="K16" s="28">
        <v>37.882142201432998</v>
      </c>
      <c r="L16" s="28">
        <v>38.0531065645837</v>
      </c>
      <c r="M16" s="28">
        <v>38.059503029279199</v>
      </c>
      <c r="N16" s="28">
        <v>38.079153506736603</v>
      </c>
      <c r="O16" s="28">
        <v>38.000441582579903</v>
      </c>
      <c r="P16" s="28">
        <v>37.795755366242901</v>
      </c>
      <c r="Q16" s="28">
        <v>37.780848867198401</v>
      </c>
      <c r="R16" s="28">
        <v>37.780847867198403</v>
      </c>
      <c r="S16" s="28">
        <v>37.715977105412399</v>
      </c>
      <c r="T16" s="28">
        <v>37.700560126472297</v>
      </c>
      <c r="U16" s="28">
        <v>37.700559126472299</v>
      </c>
      <c r="V16" s="28">
        <v>37.555854547435999</v>
      </c>
      <c r="W16" s="28">
        <v>37.498366715314098</v>
      </c>
      <c r="X16" s="28">
        <v>37.447268075533401</v>
      </c>
      <c r="Y16" s="28">
        <v>37.385570871811296</v>
      </c>
      <c r="Z16" s="28">
        <v>37.385569871811299</v>
      </c>
      <c r="AA16" s="28">
        <v>37.342476024136502</v>
      </c>
      <c r="AB16" s="28">
        <v>37.304015586767697</v>
      </c>
      <c r="AC16" s="28">
        <v>37.257025960733003</v>
      </c>
      <c r="AD16" s="28">
        <v>37.215459658487198</v>
      </c>
      <c r="AE16" s="28">
        <v>37.176575097873901</v>
      </c>
      <c r="AF16" s="28">
        <v>37.136981500076502</v>
      </c>
      <c r="AG16" s="28">
        <v>37.044062508249297</v>
      </c>
      <c r="AH16" s="28">
        <v>37.023424824598798</v>
      </c>
      <c r="AI16" s="28">
        <v>37.023423824598801</v>
      </c>
      <c r="AJ16" s="33">
        <v>37.0846164763419</v>
      </c>
      <c r="AK16" s="28">
        <v>37.305031231243802</v>
      </c>
      <c r="AL16" s="28">
        <v>37.398501283956499</v>
      </c>
      <c r="AM16" s="28">
        <v>37.531882533138102</v>
      </c>
      <c r="AN16" s="28">
        <v>37.5318835331381</v>
      </c>
      <c r="AO16" s="28">
        <v>37.580581210224501</v>
      </c>
      <c r="AP16" s="28">
        <v>37.584918410952298</v>
      </c>
      <c r="AQ16" s="28">
        <v>37.602745243101502</v>
      </c>
      <c r="AR16" s="28">
        <v>37.651995930041998</v>
      </c>
      <c r="AS16" s="28">
        <v>37.681052184067603</v>
      </c>
      <c r="AT16" s="28">
        <v>37.642443337141501</v>
      </c>
      <c r="AU16" s="28">
        <v>37.635574885395698</v>
      </c>
      <c r="AV16" s="28">
        <v>37.521426656415201</v>
      </c>
      <c r="AW16" s="28">
        <v>37.492395572292502</v>
      </c>
      <c r="AX16" s="28">
        <v>37.408926812350103</v>
      </c>
      <c r="AY16" s="28">
        <v>37.408925812350098</v>
      </c>
      <c r="AZ16" s="28">
        <v>37.408924812350101</v>
      </c>
      <c r="BA16" s="28">
        <v>37.408923812350103</v>
      </c>
      <c r="BB16" s="28">
        <v>37.205016169697998</v>
      </c>
      <c r="BC16" s="28">
        <v>37.051757758880299</v>
      </c>
      <c r="BD16" s="28">
        <v>36.954607482362597</v>
      </c>
      <c r="BE16" s="28">
        <v>36.867481015149203</v>
      </c>
      <c r="BF16" s="28">
        <v>36.8194723336699</v>
      </c>
      <c r="BG16" s="28">
        <v>36.673808750013301</v>
      </c>
      <c r="BH16" s="28">
        <v>36.533606116748103</v>
      </c>
      <c r="BI16" s="28">
        <v>36.383916136542297</v>
      </c>
      <c r="BJ16" s="28">
        <v>36.383915136542299</v>
      </c>
      <c r="BK16" s="28">
        <v>36.363551173055697</v>
      </c>
      <c r="BL16" s="28">
        <v>36.280928949737103</v>
      </c>
      <c r="BM16" s="28">
        <v>36.280927949737098</v>
      </c>
      <c r="BN16" s="28">
        <v>36.280926949737101</v>
      </c>
      <c r="BO16" s="28">
        <v>36.280925949737103</v>
      </c>
    </row>
    <row r="17" spans="1:67" x14ac:dyDescent="0.3">
      <c r="A17" s="28">
        <v>13</v>
      </c>
      <c r="B17" s="35">
        <v>36.752921459210299</v>
      </c>
      <c r="C17" s="24">
        <v>13</v>
      </c>
      <c r="D17" s="35">
        <v>36.752921459210299</v>
      </c>
      <c r="E17" s="28">
        <v>36.916286284882197</v>
      </c>
      <c r="F17" s="28">
        <v>37.198518617754303</v>
      </c>
      <c r="G17" s="28">
        <v>37.365797918165498</v>
      </c>
      <c r="H17" s="28">
        <v>37.701080130721202</v>
      </c>
      <c r="I17" s="28">
        <v>37.858759292850998</v>
      </c>
      <c r="J17" s="28">
        <v>38.032518874765799</v>
      </c>
      <c r="K17" s="28">
        <v>38.1721914399591</v>
      </c>
      <c r="L17" s="28">
        <v>38.363238740710798</v>
      </c>
      <c r="M17" s="28">
        <v>38.379249995193199</v>
      </c>
      <c r="N17" s="28">
        <v>38.403691998454804</v>
      </c>
      <c r="O17" s="28">
        <v>38.324050971431802</v>
      </c>
      <c r="P17" s="28">
        <v>38.134859794969202</v>
      </c>
      <c r="Q17" s="28">
        <v>38.100844264749298</v>
      </c>
      <c r="R17" s="28">
        <v>38.100843264749301</v>
      </c>
      <c r="S17" s="28">
        <v>38.0078673401893</v>
      </c>
      <c r="T17" s="28">
        <v>37.976690723766701</v>
      </c>
      <c r="U17" s="28">
        <v>37.972999798865501</v>
      </c>
      <c r="V17" s="28">
        <v>37.823622755011897</v>
      </c>
      <c r="W17" s="28">
        <v>37.756676391555203</v>
      </c>
      <c r="X17" s="28">
        <v>37.706241552349198</v>
      </c>
      <c r="Y17" s="28">
        <v>37.647828391527398</v>
      </c>
      <c r="Z17" s="28">
        <v>37.6478273915274</v>
      </c>
      <c r="AA17" s="28">
        <v>37.606336255321303</v>
      </c>
      <c r="AB17" s="28">
        <v>37.567410018459597</v>
      </c>
      <c r="AC17" s="28">
        <v>37.528907155216302</v>
      </c>
      <c r="AD17" s="28">
        <v>37.489602721360399</v>
      </c>
      <c r="AE17" s="28">
        <v>37.451107520879603</v>
      </c>
      <c r="AF17" s="28">
        <v>37.4120935856266</v>
      </c>
      <c r="AG17" s="28">
        <v>37.321773150213403</v>
      </c>
      <c r="AH17" s="28">
        <v>37.298726465796697</v>
      </c>
      <c r="AI17" s="28">
        <v>37.2987254657967</v>
      </c>
      <c r="AJ17" s="33">
        <v>37.496212928883999</v>
      </c>
      <c r="AK17" s="28">
        <v>37.694118091386002</v>
      </c>
      <c r="AL17" s="28">
        <v>37.778614727687902</v>
      </c>
      <c r="AM17" s="28">
        <v>37.917025878184802</v>
      </c>
      <c r="AN17" s="28">
        <v>37.917026878184799</v>
      </c>
      <c r="AO17" s="28">
        <v>38.010973622840801</v>
      </c>
      <c r="AP17" s="28">
        <v>38.038636947236597</v>
      </c>
      <c r="AQ17" s="28">
        <v>38.077026381664197</v>
      </c>
      <c r="AR17" s="28">
        <v>38.1388769744378</v>
      </c>
      <c r="AS17" s="28">
        <v>38.172852656377898</v>
      </c>
      <c r="AT17" s="28">
        <v>38.127791638188398</v>
      </c>
      <c r="AU17" s="28">
        <v>38.106234982014897</v>
      </c>
      <c r="AV17" s="28">
        <v>37.959491823904401</v>
      </c>
      <c r="AW17" s="28">
        <v>37.908564785160699</v>
      </c>
      <c r="AX17" s="28">
        <v>37.803509236075101</v>
      </c>
      <c r="AY17" s="28">
        <v>37.803508236075103</v>
      </c>
      <c r="AZ17" s="28">
        <v>37.803507236075099</v>
      </c>
      <c r="BA17" s="28">
        <v>37.761390137777298</v>
      </c>
      <c r="BB17" s="28">
        <v>37.565161187152</v>
      </c>
      <c r="BC17" s="28">
        <v>37.415558148906101</v>
      </c>
      <c r="BD17" s="28">
        <v>37.312230258575603</v>
      </c>
      <c r="BE17" s="28">
        <v>37.209673927265399</v>
      </c>
      <c r="BF17" s="28">
        <v>37.157332971200702</v>
      </c>
      <c r="BG17" s="28">
        <v>37.008556056148798</v>
      </c>
      <c r="BH17" s="28">
        <v>36.867755647276802</v>
      </c>
      <c r="BI17" s="28">
        <v>36.723467334079501</v>
      </c>
      <c r="BJ17" s="28">
        <v>36.723466334079497</v>
      </c>
      <c r="BK17" s="28">
        <v>36.704089640742403</v>
      </c>
      <c r="BL17" s="28">
        <v>36.625485808840601</v>
      </c>
      <c r="BM17" s="28">
        <v>36.625484808840604</v>
      </c>
      <c r="BN17" s="28">
        <v>36.625483808840599</v>
      </c>
      <c r="BO17" s="28">
        <v>36.625482808840601</v>
      </c>
    </row>
    <row r="18" spans="1:67" x14ac:dyDescent="0.3">
      <c r="A18" s="28">
        <v>14</v>
      </c>
      <c r="B18" s="35">
        <v>36.4424886860143</v>
      </c>
      <c r="C18" s="24">
        <v>14</v>
      </c>
      <c r="D18" s="35">
        <v>36.4424886860143</v>
      </c>
      <c r="E18" s="28">
        <v>36.680304914184099</v>
      </c>
      <c r="F18" s="28">
        <v>36.938680060600497</v>
      </c>
      <c r="G18" s="28">
        <v>37.091505170550398</v>
      </c>
      <c r="H18" s="28">
        <v>37.444799610607298</v>
      </c>
      <c r="I18" s="28">
        <v>37.586087824275097</v>
      </c>
      <c r="J18" s="28">
        <v>37.749004448479702</v>
      </c>
      <c r="K18" s="28">
        <v>37.8703491099742</v>
      </c>
      <c r="L18" s="28">
        <v>38.046299649822501</v>
      </c>
      <c r="M18" s="28">
        <v>38.0534461116846</v>
      </c>
      <c r="N18" s="28">
        <v>38.0733490455751</v>
      </c>
      <c r="O18" s="28">
        <v>37.998062362391202</v>
      </c>
      <c r="P18" s="28">
        <v>37.795704091670601</v>
      </c>
      <c r="Q18" s="28">
        <v>37.779176948588102</v>
      </c>
      <c r="R18" s="28">
        <v>37.779175948588097</v>
      </c>
      <c r="S18" s="28">
        <v>37.7194802368018</v>
      </c>
      <c r="T18" s="28">
        <v>37.704330250181499</v>
      </c>
      <c r="U18" s="28">
        <v>37.704329250181502</v>
      </c>
      <c r="V18" s="28">
        <v>37.572004544353803</v>
      </c>
      <c r="W18" s="28">
        <v>37.513567127300099</v>
      </c>
      <c r="X18" s="28">
        <v>37.465857213226897</v>
      </c>
      <c r="Y18" s="28">
        <v>37.405146504341303</v>
      </c>
      <c r="Z18" s="28">
        <v>37.405145504341299</v>
      </c>
      <c r="AA18" s="28">
        <v>37.364944892034401</v>
      </c>
      <c r="AB18" s="28">
        <v>37.3261875707597</v>
      </c>
      <c r="AC18" s="28">
        <v>37.287744858164302</v>
      </c>
      <c r="AD18" s="28">
        <v>37.247261474402301</v>
      </c>
      <c r="AE18" s="28">
        <v>37.207290890014399</v>
      </c>
      <c r="AF18" s="28">
        <v>37.167477710731198</v>
      </c>
      <c r="AG18" s="28">
        <v>37.072305743993198</v>
      </c>
      <c r="AH18" s="28">
        <v>37.052368000646901</v>
      </c>
      <c r="AI18" s="28">
        <v>37.052367000646903</v>
      </c>
      <c r="AJ18" s="33">
        <v>36.9433970588249</v>
      </c>
      <c r="AK18" s="28">
        <v>37.192833069582797</v>
      </c>
      <c r="AL18" s="28">
        <v>37.267389234026702</v>
      </c>
      <c r="AM18" s="28">
        <v>37.392074746100498</v>
      </c>
      <c r="AN18" s="28">
        <v>37.392075746100502</v>
      </c>
      <c r="AO18" s="28">
        <v>37.429503182161397</v>
      </c>
      <c r="AP18" s="28">
        <v>37.429504182161402</v>
      </c>
      <c r="AQ18" s="28">
        <v>37.436962935101299</v>
      </c>
      <c r="AR18" s="28">
        <v>37.482138474480799</v>
      </c>
      <c r="AS18" s="28">
        <v>37.509905097901999</v>
      </c>
      <c r="AT18" s="28">
        <v>37.474539297067203</v>
      </c>
      <c r="AU18" s="28">
        <v>37.473050074098097</v>
      </c>
      <c r="AV18" s="28">
        <v>37.3666259660463</v>
      </c>
      <c r="AW18" s="28">
        <v>37.347787889896999</v>
      </c>
      <c r="AX18" s="28">
        <v>37.264776310012898</v>
      </c>
      <c r="AY18" s="28">
        <v>37.264775310012901</v>
      </c>
      <c r="AZ18" s="28">
        <v>37.264774310012903</v>
      </c>
      <c r="BA18" s="28">
        <v>37.264773310012899</v>
      </c>
      <c r="BB18" s="28">
        <v>37.097360191735497</v>
      </c>
      <c r="BC18" s="28">
        <v>36.937809626638</v>
      </c>
      <c r="BD18" s="28">
        <v>36.842783530837202</v>
      </c>
      <c r="BE18" s="28">
        <v>36.754698064124703</v>
      </c>
      <c r="BF18" s="28">
        <v>36.703408527788199</v>
      </c>
      <c r="BG18" s="28">
        <v>36.548061905959997</v>
      </c>
      <c r="BH18" s="28">
        <v>36.413248544161398</v>
      </c>
      <c r="BI18" s="28">
        <v>36.255370864721399</v>
      </c>
      <c r="BJ18" s="28">
        <v>36.255369864721402</v>
      </c>
      <c r="BK18" s="28">
        <v>36.235963442477697</v>
      </c>
      <c r="BL18" s="28">
        <v>36.157720631611397</v>
      </c>
      <c r="BM18" s="28">
        <v>36.1577196316114</v>
      </c>
      <c r="BN18" s="28">
        <v>36.157718631611402</v>
      </c>
      <c r="BO18" s="28">
        <v>36.157717631611497</v>
      </c>
    </row>
    <row r="19" spans="1:67" x14ac:dyDescent="0.3">
      <c r="A19" s="28">
        <v>15</v>
      </c>
      <c r="B19" s="35">
        <v>36.4500231325774</v>
      </c>
      <c r="C19" s="24">
        <v>15</v>
      </c>
      <c r="D19" s="35">
        <v>36.4500231325774</v>
      </c>
      <c r="E19" s="28">
        <v>36.7125595209205</v>
      </c>
      <c r="F19" s="28">
        <v>36.979956329567003</v>
      </c>
      <c r="G19" s="28">
        <v>37.136328838711997</v>
      </c>
      <c r="H19" s="28">
        <v>37.451684193039</v>
      </c>
      <c r="I19" s="28">
        <v>37.583702073042303</v>
      </c>
      <c r="J19" s="28">
        <v>37.747027805852603</v>
      </c>
      <c r="K19" s="28">
        <v>37.884296006386997</v>
      </c>
      <c r="L19" s="28">
        <v>38.053195751306497</v>
      </c>
      <c r="M19" s="28">
        <v>38.059491526814398</v>
      </c>
      <c r="N19" s="28">
        <v>38.079068397846797</v>
      </c>
      <c r="O19" s="28">
        <v>38.079069397846801</v>
      </c>
      <c r="P19" s="28">
        <v>37.822843063393101</v>
      </c>
      <c r="Q19" s="28">
        <v>37.805015628414097</v>
      </c>
      <c r="R19" s="28">
        <v>37.805014628414199</v>
      </c>
      <c r="S19" s="28">
        <v>37.736437758872803</v>
      </c>
      <c r="T19" s="28">
        <v>37.717439357460499</v>
      </c>
      <c r="U19" s="28">
        <v>37.717438357460502</v>
      </c>
      <c r="V19" s="28">
        <v>37.567570686188603</v>
      </c>
      <c r="W19" s="28">
        <v>37.5095196794963</v>
      </c>
      <c r="X19" s="28">
        <v>37.4607648144667</v>
      </c>
      <c r="Y19" s="28">
        <v>37.396841610403897</v>
      </c>
      <c r="Z19" s="28">
        <v>37.396840610403899</v>
      </c>
      <c r="AA19" s="28">
        <v>37.357720939839503</v>
      </c>
      <c r="AB19" s="28">
        <v>37.3188957802803</v>
      </c>
      <c r="AC19" s="28">
        <v>37.27729981929</v>
      </c>
      <c r="AD19" s="28">
        <v>37.232882710828797</v>
      </c>
      <c r="AE19" s="28">
        <v>37.194489289621302</v>
      </c>
      <c r="AF19" s="28">
        <v>37.154903929617902</v>
      </c>
      <c r="AG19" s="28">
        <v>37.068095860994298</v>
      </c>
      <c r="AH19" s="28">
        <v>37.048531473667801</v>
      </c>
      <c r="AI19" s="28">
        <v>37.048530473667803</v>
      </c>
      <c r="AJ19" s="33">
        <v>36.993979283677902</v>
      </c>
      <c r="AK19" s="28">
        <v>37.227249517101498</v>
      </c>
      <c r="AL19" s="28">
        <v>37.303092802250397</v>
      </c>
      <c r="AM19" s="28">
        <v>37.4312916988425</v>
      </c>
      <c r="AN19" s="28">
        <v>37.431292698842498</v>
      </c>
      <c r="AO19" s="28">
        <v>37.475760599480601</v>
      </c>
      <c r="AP19" s="28">
        <v>37.475761599480599</v>
      </c>
      <c r="AQ19" s="28">
        <v>37.489252038286502</v>
      </c>
      <c r="AR19" s="28">
        <v>37.533684718570399</v>
      </c>
      <c r="AS19" s="28">
        <v>37.563356814809502</v>
      </c>
      <c r="AT19" s="28">
        <v>37.520216135901897</v>
      </c>
      <c r="AU19" s="28">
        <v>37.516654780840298</v>
      </c>
      <c r="AV19" s="28">
        <v>37.409295536220696</v>
      </c>
      <c r="AW19" s="28">
        <v>37.3884167067677</v>
      </c>
      <c r="AX19" s="28">
        <v>37.310399684576197</v>
      </c>
      <c r="AY19" s="28">
        <v>37.310398684576199</v>
      </c>
      <c r="AZ19" s="28">
        <v>37.310397684576202</v>
      </c>
      <c r="BA19" s="28">
        <v>37.310396684576297</v>
      </c>
      <c r="BB19" s="28">
        <v>37.124002978173699</v>
      </c>
      <c r="BC19" s="28">
        <v>36.978387898437703</v>
      </c>
      <c r="BD19" s="28">
        <v>36.883157236650703</v>
      </c>
      <c r="BE19" s="28">
        <v>36.795079202363198</v>
      </c>
      <c r="BF19" s="28">
        <v>36.743679583950403</v>
      </c>
      <c r="BG19" s="28">
        <v>36.601808191479698</v>
      </c>
      <c r="BH19" s="28">
        <v>36.460885766683496</v>
      </c>
      <c r="BI19" s="28">
        <v>36.321171825538201</v>
      </c>
      <c r="BJ19" s="28">
        <v>36.321170825538204</v>
      </c>
      <c r="BK19" s="28">
        <v>36.302291063659602</v>
      </c>
      <c r="BL19" s="28">
        <v>36.221587632668303</v>
      </c>
      <c r="BM19" s="28">
        <v>36.221586632668298</v>
      </c>
      <c r="BN19" s="28">
        <v>36.221585632668301</v>
      </c>
      <c r="BO19" s="28">
        <v>36.221584632668304</v>
      </c>
    </row>
    <row r="20" spans="1:67" x14ac:dyDescent="0.3">
      <c r="A20" s="28">
        <v>16</v>
      </c>
      <c r="B20" s="35">
        <v>35.959872927855898</v>
      </c>
      <c r="C20" s="24">
        <v>16</v>
      </c>
      <c r="D20" s="35">
        <v>35.959872927855898</v>
      </c>
      <c r="E20" s="28">
        <v>36.300935909057401</v>
      </c>
      <c r="F20" s="28">
        <v>36.551126926673199</v>
      </c>
      <c r="G20" s="28">
        <v>36.698072172978797</v>
      </c>
      <c r="H20" s="28">
        <v>36.983543235750098</v>
      </c>
      <c r="I20" s="28">
        <v>37.097881953855598</v>
      </c>
      <c r="J20" s="28">
        <v>37.238201747006698</v>
      </c>
      <c r="K20" s="28">
        <v>37.337501078096601</v>
      </c>
      <c r="L20" s="28">
        <v>37.483303820135902</v>
      </c>
      <c r="M20" s="28">
        <v>37.483304820135899</v>
      </c>
      <c r="N20" s="28">
        <v>37.489133063020397</v>
      </c>
      <c r="O20" s="28">
        <v>37.397274473033001</v>
      </c>
      <c r="P20" s="28">
        <v>37.234186291240498</v>
      </c>
      <c r="Q20" s="28">
        <v>37.2341852912405</v>
      </c>
      <c r="R20" s="28">
        <v>37.234184291240503</v>
      </c>
      <c r="S20" s="28">
        <v>37.222930599785201</v>
      </c>
      <c r="T20" s="28">
        <v>37.222929599785203</v>
      </c>
      <c r="U20" s="28">
        <v>37.222928599785199</v>
      </c>
      <c r="V20" s="28">
        <v>37.121984317561299</v>
      </c>
      <c r="W20" s="28">
        <v>37.073693527894399</v>
      </c>
      <c r="X20" s="28">
        <v>37.029830686469801</v>
      </c>
      <c r="Y20" s="28">
        <v>36.9730013757707</v>
      </c>
      <c r="Z20" s="28">
        <v>36.973000375770702</v>
      </c>
      <c r="AA20" s="28">
        <v>36.928305838095199</v>
      </c>
      <c r="AB20" s="28">
        <v>36.889091666084099</v>
      </c>
      <c r="AC20" s="28">
        <v>36.8507482824809</v>
      </c>
      <c r="AD20" s="28">
        <v>36.809598825950097</v>
      </c>
      <c r="AE20" s="28">
        <v>36.7711032546704</v>
      </c>
      <c r="AF20" s="28">
        <v>36.724874523277499</v>
      </c>
      <c r="AG20" s="28">
        <v>36.635405419175498</v>
      </c>
      <c r="AH20" s="28">
        <v>36.6158757303606</v>
      </c>
      <c r="AI20" s="28">
        <v>36.615874730360602</v>
      </c>
      <c r="AJ20" s="33">
        <v>36.996478469663998</v>
      </c>
      <c r="AK20" s="28">
        <v>37.246688698788901</v>
      </c>
      <c r="AL20" s="28">
        <v>37.330315414210197</v>
      </c>
      <c r="AM20" s="28">
        <v>37.452070942101102</v>
      </c>
      <c r="AN20" s="28">
        <v>37.452071942101099</v>
      </c>
      <c r="AO20" s="28">
        <v>37.4969066172089</v>
      </c>
      <c r="AP20" s="28">
        <v>37.496907617208898</v>
      </c>
      <c r="AQ20" s="28">
        <v>37.510784360856803</v>
      </c>
      <c r="AR20" s="28">
        <v>37.560134594428497</v>
      </c>
      <c r="AS20" s="28">
        <v>37.5911304949108</v>
      </c>
      <c r="AT20" s="28">
        <v>37.554589840618597</v>
      </c>
      <c r="AU20" s="28">
        <v>37.550687980824897</v>
      </c>
      <c r="AV20" s="28">
        <v>37.4371793028618</v>
      </c>
      <c r="AW20" s="28">
        <v>37.412200803640999</v>
      </c>
      <c r="AX20" s="28">
        <v>37.328387543390498</v>
      </c>
      <c r="AY20" s="28">
        <v>37.328386543390501</v>
      </c>
      <c r="AZ20" s="28">
        <v>37.328385543390503</v>
      </c>
      <c r="BA20" s="28">
        <v>37.328384543390499</v>
      </c>
      <c r="BB20" s="28">
        <v>37.151997958225202</v>
      </c>
      <c r="BC20" s="28">
        <v>37.005316666593899</v>
      </c>
      <c r="BD20" s="28">
        <v>36.906981858752097</v>
      </c>
      <c r="BE20" s="28">
        <v>36.820100267662298</v>
      </c>
      <c r="BF20" s="28">
        <v>36.771270587447603</v>
      </c>
      <c r="BG20" s="28">
        <v>36.625000943560501</v>
      </c>
      <c r="BH20" s="28">
        <v>36.488303389113803</v>
      </c>
      <c r="BI20" s="28">
        <v>36.353356951761398</v>
      </c>
      <c r="BJ20" s="28">
        <v>36.353355951761401</v>
      </c>
      <c r="BK20" s="28">
        <v>36.334250362747099</v>
      </c>
      <c r="BL20" s="28">
        <v>36.256504341222801</v>
      </c>
      <c r="BM20" s="28">
        <v>36.256503341222803</v>
      </c>
      <c r="BN20" s="28">
        <v>36.256502341222799</v>
      </c>
      <c r="BO20" s="28">
        <v>36.256501341222801</v>
      </c>
    </row>
    <row r="21" spans="1:67" x14ac:dyDescent="0.3">
      <c r="A21" s="28">
        <v>17</v>
      </c>
      <c r="B21" s="35">
        <v>36.772876200785497</v>
      </c>
      <c r="C21" s="24">
        <v>17</v>
      </c>
      <c r="D21" s="35">
        <v>36.772876200785497</v>
      </c>
      <c r="E21" s="28">
        <v>36.930964178832298</v>
      </c>
      <c r="F21" s="28">
        <v>37.196599475322301</v>
      </c>
      <c r="G21" s="28">
        <v>37.355132572839899</v>
      </c>
      <c r="H21" s="28">
        <v>37.658806711611298</v>
      </c>
      <c r="I21" s="28">
        <v>37.831285294127902</v>
      </c>
      <c r="J21" s="28">
        <v>38.022540064339097</v>
      </c>
      <c r="K21" s="28">
        <v>38.156053703264902</v>
      </c>
      <c r="L21" s="28">
        <v>38.3366129176516</v>
      </c>
      <c r="M21" s="28">
        <v>38.351633884273497</v>
      </c>
      <c r="N21" s="28">
        <v>38.374285574169498</v>
      </c>
      <c r="O21" s="28">
        <v>38.282495804339398</v>
      </c>
      <c r="P21" s="28">
        <v>38.092115260595499</v>
      </c>
      <c r="Q21" s="28">
        <v>38.0636071082169</v>
      </c>
      <c r="R21" s="28">
        <v>38.063606108216902</v>
      </c>
      <c r="S21" s="28">
        <v>37.977267632362697</v>
      </c>
      <c r="T21" s="28">
        <v>37.9506125410078</v>
      </c>
      <c r="U21" s="28">
        <v>37.947870507709503</v>
      </c>
      <c r="V21" s="28">
        <v>37.7903571207856</v>
      </c>
      <c r="W21" s="28">
        <v>37.726203745288103</v>
      </c>
      <c r="X21" s="28">
        <v>37.674719453163</v>
      </c>
      <c r="Y21" s="28">
        <v>37.611356459080397</v>
      </c>
      <c r="Z21" s="28">
        <v>37.6113554590804</v>
      </c>
      <c r="AA21" s="28">
        <v>37.573214204675303</v>
      </c>
      <c r="AB21" s="28">
        <v>37.531811107630503</v>
      </c>
      <c r="AC21" s="28">
        <v>37.491178250733498</v>
      </c>
      <c r="AD21" s="28">
        <v>37.4520784647789</v>
      </c>
      <c r="AE21" s="28">
        <v>37.411172094766101</v>
      </c>
      <c r="AF21" s="28">
        <v>37.372789840425099</v>
      </c>
      <c r="AG21" s="28">
        <v>37.282571709599701</v>
      </c>
      <c r="AH21" s="28">
        <v>37.261683194411503</v>
      </c>
      <c r="AI21" s="28">
        <v>37.261682194411499</v>
      </c>
      <c r="AJ21" s="33">
        <v>37.6816379195186</v>
      </c>
      <c r="AK21" s="28">
        <v>37.8264387636805</v>
      </c>
      <c r="AL21" s="28">
        <v>37.917749501836802</v>
      </c>
      <c r="AM21" s="28">
        <v>38.063119981687798</v>
      </c>
      <c r="AN21" s="28">
        <v>38.063120981687803</v>
      </c>
      <c r="AO21" s="28">
        <v>38.171068084707002</v>
      </c>
      <c r="AP21" s="28">
        <v>38.207462973797803</v>
      </c>
      <c r="AQ21" s="28">
        <v>38.2534124791528</v>
      </c>
      <c r="AR21" s="28">
        <v>38.320264709361098</v>
      </c>
      <c r="AS21" s="28">
        <v>38.357832487722298</v>
      </c>
      <c r="AT21" s="28">
        <v>38.313169658301902</v>
      </c>
      <c r="AU21" s="28">
        <v>38.285935681126197</v>
      </c>
      <c r="AV21" s="28">
        <v>38.143040488050303</v>
      </c>
      <c r="AW21" s="28">
        <v>38.084460352495299</v>
      </c>
      <c r="AX21" s="28">
        <v>37.969397675655202</v>
      </c>
      <c r="AY21" s="28">
        <v>37.969396675655197</v>
      </c>
      <c r="AZ21" s="28">
        <v>37.9693956756552</v>
      </c>
      <c r="BA21" s="28">
        <v>37.920379987290403</v>
      </c>
      <c r="BB21" s="28">
        <v>37.732314708154</v>
      </c>
      <c r="BC21" s="28">
        <v>37.560147586248199</v>
      </c>
      <c r="BD21" s="28">
        <v>37.458316809023898</v>
      </c>
      <c r="BE21" s="28">
        <v>37.371050932023003</v>
      </c>
      <c r="BF21" s="28">
        <v>37.321941609279797</v>
      </c>
      <c r="BG21" s="28">
        <v>37.166117874753198</v>
      </c>
      <c r="BH21" s="28">
        <v>37.028457831509897</v>
      </c>
      <c r="BI21" s="28">
        <v>36.888392442457103</v>
      </c>
      <c r="BJ21" s="28">
        <v>36.888391442457099</v>
      </c>
      <c r="BK21" s="28">
        <v>36.869487961631599</v>
      </c>
      <c r="BL21" s="28">
        <v>36.791842136917502</v>
      </c>
      <c r="BM21" s="28">
        <v>36.791841136917498</v>
      </c>
      <c r="BN21" s="28">
        <v>36.7918401369175</v>
      </c>
      <c r="BO21" s="28">
        <v>36.791839136917503</v>
      </c>
    </row>
    <row r="22" spans="1:67" x14ac:dyDescent="0.3">
      <c r="A22" s="28">
        <v>18</v>
      </c>
      <c r="B22" s="35">
        <v>36.598478233592402</v>
      </c>
      <c r="C22" s="24">
        <v>18</v>
      </c>
      <c r="D22" s="35">
        <v>36.598478233592402</v>
      </c>
      <c r="E22" s="28">
        <v>36.798648647668401</v>
      </c>
      <c r="F22" s="28">
        <v>37.064592182363199</v>
      </c>
      <c r="G22" s="28">
        <v>37.224747694415598</v>
      </c>
      <c r="H22" s="28">
        <v>37.5215027505525</v>
      </c>
      <c r="I22" s="28">
        <v>37.660713890222297</v>
      </c>
      <c r="J22" s="28">
        <v>37.823617107404601</v>
      </c>
      <c r="K22" s="28">
        <v>37.951629309423303</v>
      </c>
      <c r="L22" s="28">
        <v>38.123649765873701</v>
      </c>
      <c r="M22" s="28">
        <v>38.1319034954928</v>
      </c>
      <c r="N22" s="28">
        <v>38.152155282817603</v>
      </c>
      <c r="O22" s="28">
        <v>38.072865302255003</v>
      </c>
      <c r="P22" s="28">
        <v>37.882240492315603</v>
      </c>
      <c r="Q22" s="28">
        <v>37.863676149242004</v>
      </c>
      <c r="R22" s="28">
        <v>37.863675149241999</v>
      </c>
      <c r="S22" s="28">
        <v>37.795412728876798</v>
      </c>
      <c r="T22" s="28">
        <v>37.7768002705238</v>
      </c>
      <c r="U22" s="28">
        <v>37.776799270523803</v>
      </c>
      <c r="V22" s="28">
        <v>37.640058645989598</v>
      </c>
      <c r="W22" s="28">
        <v>37.577049271078799</v>
      </c>
      <c r="X22" s="28">
        <v>37.526768156284803</v>
      </c>
      <c r="Y22" s="28">
        <v>37.465526759294796</v>
      </c>
      <c r="Z22" s="28">
        <v>37.465525759294799</v>
      </c>
      <c r="AA22" s="28">
        <v>37.427257556265303</v>
      </c>
      <c r="AB22" s="28">
        <v>37.387872128332297</v>
      </c>
      <c r="AC22" s="28">
        <v>37.347444067166201</v>
      </c>
      <c r="AD22" s="28">
        <v>37.308010654927102</v>
      </c>
      <c r="AE22" s="28">
        <v>37.2695644868163</v>
      </c>
      <c r="AF22" s="28">
        <v>37.230213912736801</v>
      </c>
      <c r="AG22" s="28">
        <v>37.1400482873523</v>
      </c>
      <c r="AH22" s="28">
        <v>37.1206033380113</v>
      </c>
      <c r="AI22" s="28">
        <v>37.120602338011302</v>
      </c>
      <c r="AJ22" s="33">
        <v>37.676670006464398</v>
      </c>
      <c r="AK22" s="28">
        <v>37.836610404967402</v>
      </c>
      <c r="AL22" s="28">
        <v>37.926939837809201</v>
      </c>
      <c r="AM22" s="28">
        <v>38.075538312933602</v>
      </c>
      <c r="AN22" s="28">
        <v>38.0755393129336</v>
      </c>
      <c r="AO22" s="28">
        <v>38.1861221427719</v>
      </c>
      <c r="AP22" s="28">
        <v>38.223089977816301</v>
      </c>
      <c r="AQ22" s="28">
        <v>38.269175209025903</v>
      </c>
      <c r="AR22" s="28">
        <v>38.344581594051597</v>
      </c>
      <c r="AS22" s="28">
        <v>38.385007078364197</v>
      </c>
      <c r="AT22" s="28">
        <v>38.338830492603698</v>
      </c>
      <c r="AU22" s="28">
        <v>38.310833032016902</v>
      </c>
      <c r="AV22" s="28">
        <v>38.159670602797704</v>
      </c>
      <c r="AW22" s="28">
        <v>38.101466920169401</v>
      </c>
      <c r="AX22" s="28">
        <v>37.983210023781503</v>
      </c>
      <c r="AY22" s="28">
        <v>37.983209023781498</v>
      </c>
      <c r="AZ22" s="28">
        <v>37.983208023781501</v>
      </c>
      <c r="BA22" s="28">
        <v>37.928211461915502</v>
      </c>
      <c r="BB22" s="28">
        <v>37.738914394368201</v>
      </c>
      <c r="BC22" s="28">
        <v>37.591360411599602</v>
      </c>
      <c r="BD22" s="28">
        <v>37.489490293857102</v>
      </c>
      <c r="BE22" s="28">
        <v>37.398166945611003</v>
      </c>
      <c r="BF22" s="28">
        <v>37.349504101192899</v>
      </c>
      <c r="BG22" s="28">
        <v>37.197206557492599</v>
      </c>
      <c r="BH22" s="28">
        <v>37.046902041261099</v>
      </c>
      <c r="BI22" s="28">
        <v>36.914061319916399</v>
      </c>
      <c r="BJ22" s="28">
        <v>36.914060319916402</v>
      </c>
      <c r="BK22" s="28">
        <v>36.894402946491098</v>
      </c>
      <c r="BL22" s="28">
        <v>36.813736942362297</v>
      </c>
      <c r="BM22" s="28">
        <v>36.8137359423623</v>
      </c>
      <c r="BN22" s="28">
        <v>36.813734942362302</v>
      </c>
      <c r="BO22" s="28">
        <v>36.813733942362298</v>
      </c>
    </row>
    <row r="23" spans="1:67" x14ac:dyDescent="0.3">
      <c r="A23" s="28">
        <v>19</v>
      </c>
      <c r="B23" s="35">
        <v>36.659450397289199</v>
      </c>
      <c r="C23" s="24">
        <v>19</v>
      </c>
      <c r="D23" s="35">
        <v>36.659450397289199</v>
      </c>
      <c r="E23" s="28">
        <v>36.848074706806898</v>
      </c>
      <c r="F23" s="28">
        <v>37.1289103533923</v>
      </c>
      <c r="G23" s="28">
        <v>37.2853471778554</v>
      </c>
      <c r="H23" s="28">
        <v>37.596273145390803</v>
      </c>
      <c r="I23" s="28">
        <v>37.751443326911897</v>
      </c>
      <c r="J23" s="28">
        <v>37.941756986641799</v>
      </c>
      <c r="K23" s="28">
        <v>38.071769468995697</v>
      </c>
      <c r="L23" s="28">
        <v>38.251103828788096</v>
      </c>
      <c r="M23" s="28">
        <v>38.265167268543799</v>
      </c>
      <c r="N23" s="28">
        <v>38.287223603206201</v>
      </c>
      <c r="O23" s="28">
        <v>38.208597231740598</v>
      </c>
      <c r="P23" s="28">
        <v>38.023357883321196</v>
      </c>
      <c r="Q23" s="28">
        <v>37.999093920780197</v>
      </c>
      <c r="R23" s="28">
        <v>37.9990929207802</v>
      </c>
      <c r="S23" s="28">
        <v>37.919025267829397</v>
      </c>
      <c r="T23" s="28">
        <v>37.895006639831799</v>
      </c>
      <c r="U23" s="28">
        <v>37.894287905978302</v>
      </c>
      <c r="V23" s="28">
        <v>37.751832447473603</v>
      </c>
      <c r="W23" s="28">
        <v>37.6899760416552</v>
      </c>
      <c r="X23" s="28">
        <v>37.640541201324602</v>
      </c>
      <c r="Y23" s="28">
        <v>37.581682807016598</v>
      </c>
      <c r="Z23" s="28">
        <v>37.581681807016601</v>
      </c>
      <c r="AA23" s="28">
        <v>37.540462642559397</v>
      </c>
      <c r="AB23" s="28">
        <v>37.501462845751497</v>
      </c>
      <c r="AC23" s="28">
        <v>37.462475447617699</v>
      </c>
      <c r="AD23" s="28">
        <v>37.422407495597</v>
      </c>
      <c r="AE23" s="28">
        <v>37.383188285986101</v>
      </c>
      <c r="AF23" s="28">
        <v>37.343686794192401</v>
      </c>
      <c r="AG23" s="28">
        <v>37.256159825442197</v>
      </c>
      <c r="AH23" s="28">
        <v>37.236823108602202</v>
      </c>
      <c r="AI23" s="28">
        <v>37.236822108602198</v>
      </c>
      <c r="AJ23" s="33">
        <v>37.369748119213597</v>
      </c>
      <c r="AK23" s="28">
        <v>37.566377422595899</v>
      </c>
      <c r="AL23" s="28">
        <v>37.648712307833698</v>
      </c>
      <c r="AM23" s="28">
        <v>37.779796559924101</v>
      </c>
      <c r="AN23" s="28">
        <v>37.779797559924098</v>
      </c>
      <c r="AO23" s="28">
        <v>37.856321131455999</v>
      </c>
      <c r="AP23" s="28">
        <v>37.8752189550423</v>
      </c>
      <c r="AQ23" s="28">
        <v>37.904898489250002</v>
      </c>
      <c r="AR23" s="28">
        <v>37.969669025597703</v>
      </c>
      <c r="AS23" s="28">
        <v>38.001561009311303</v>
      </c>
      <c r="AT23" s="28">
        <v>37.958424379334801</v>
      </c>
      <c r="AU23" s="28">
        <v>37.941974804427403</v>
      </c>
      <c r="AV23" s="28">
        <v>37.815497205674802</v>
      </c>
      <c r="AW23" s="28">
        <v>37.773553927094802</v>
      </c>
      <c r="AX23" s="28">
        <v>37.669613083401998</v>
      </c>
      <c r="AY23" s="28">
        <v>37.669612083402001</v>
      </c>
      <c r="AZ23" s="28">
        <v>37.669611083402003</v>
      </c>
      <c r="BA23" s="28">
        <v>37.6489168315711</v>
      </c>
      <c r="BB23" s="28">
        <v>37.465105030762103</v>
      </c>
      <c r="BC23" s="28">
        <v>37.319763779129097</v>
      </c>
      <c r="BD23" s="28">
        <v>37.221778312307002</v>
      </c>
      <c r="BE23" s="28">
        <v>37.131946224208697</v>
      </c>
      <c r="BF23" s="28">
        <v>37.082726611254699</v>
      </c>
      <c r="BG23" s="28">
        <v>36.934067407425097</v>
      </c>
      <c r="BH23" s="28">
        <v>36.797574129907403</v>
      </c>
      <c r="BI23" s="28">
        <v>36.656965584431703</v>
      </c>
      <c r="BJ23" s="28">
        <v>36.656964584431698</v>
      </c>
      <c r="BK23" s="28">
        <v>36.637844926834497</v>
      </c>
      <c r="BL23" s="28">
        <v>36.559110059812397</v>
      </c>
      <c r="BM23" s="28">
        <v>36.5591090598124</v>
      </c>
      <c r="BN23" s="28">
        <v>36.559108059812402</v>
      </c>
      <c r="BO23" s="28">
        <v>36.559107059812398</v>
      </c>
    </row>
    <row r="24" spans="1:67" x14ac:dyDescent="0.3">
      <c r="A24" s="28">
        <v>20</v>
      </c>
      <c r="B24" s="35">
        <v>35.930199269491602</v>
      </c>
      <c r="C24" s="24">
        <v>20</v>
      </c>
      <c r="D24" s="35">
        <v>35.930199269491602</v>
      </c>
      <c r="E24" s="28">
        <v>36.275129780114902</v>
      </c>
      <c r="F24" s="28">
        <v>36.530765709512401</v>
      </c>
      <c r="G24" s="28">
        <v>36.6741972351752</v>
      </c>
      <c r="H24" s="28">
        <v>36.958666757471697</v>
      </c>
      <c r="I24" s="28">
        <v>37.075680075953898</v>
      </c>
      <c r="J24" s="28">
        <v>37.2350255924107</v>
      </c>
      <c r="K24" s="28">
        <v>37.3382703657836</v>
      </c>
      <c r="L24" s="28">
        <v>37.494728344863702</v>
      </c>
      <c r="M24" s="28">
        <v>37.4947293448637</v>
      </c>
      <c r="N24" s="28">
        <v>37.499299739957102</v>
      </c>
      <c r="O24" s="28">
        <v>37.430384135802797</v>
      </c>
      <c r="P24" s="28">
        <v>37.238479331203202</v>
      </c>
      <c r="Q24" s="28">
        <v>37.238478331203197</v>
      </c>
      <c r="R24" s="28">
        <v>37.2384773312032</v>
      </c>
      <c r="S24" s="28">
        <v>37.238162892992797</v>
      </c>
      <c r="T24" s="28">
        <v>37.2381618929928</v>
      </c>
      <c r="U24" s="28">
        <v>37.238160892992802</v>
      </c>
      <c r="V24" s="28">
        <v>37.138742654292102</v>
      </c>
      <c r="W24" s="28">
        <v>37.080197865502598</v>
      </c>
      <c r="X24" s="28">
        <v>37.034884513915799</v>
      </c>
      <c r="Y24" s="28">
        <v>36.977292551196797</v>
      </c>
      <c r="Z24" s="28">
        <v>36.977291551196899</v>
      </c>
      <c r="AA24" s="28">
        <v>36.940498426032498</v>
      </c>
      <c r="AB24" s="28">
        <v>36.903310554850698</v>
      </c>
      <c r="AC24" s="28">
        <v>36.864368140823501</v>
      </c>
      <c r="AD24" s="28">
        <v>36.823916423777199</v>
      </c>
      <c r="AE24" s="28">
        <v>36.780801833484396</v>
      </c>
      <c r="AF24" s="28">
        <v>36.7420268934505</v>
      </c>
      <c r="AG24" s="28">
        <v>36.653555670692803</v>
      </c>
      <c r="AH24" s="28">
        <v>36.632971492749597</v>
      </c>
      <c r="AI24" s="28">
        <v>36.6329704927496</v>
      </c>
      <c r="AJ24" s="33">
        <v>37.209409996855101</v>
      </c>
      <c r="AK24" s="28">
        <v>37.420559635303697</v>
      </c>
      <c r="AL24" s="28">
        <v>37.499046487636598</v>
      </c>
      <c r="AM24" s="28">
        <v>37.6286449229057</v>
      </c>
      <c r="AN24" s="28">
        <v>37.628645922905697</v>
      </c>
      <c r="AO24" s="28">
        <v>37.690368402637901</v>
      </c>
      <c r="AP24" s="28">
        <v>37.700482713772502</v>
      </c>
      <c r="AQ24" s="28">
        <v>37.722637750811003</v>
      </c>
      <c r="AR24" s="28">
        <v>37.774088555404397</v>
      </c>
      <c r="AS24" s="28">
        <v>37.804003913863497</v>
      </c>
      <c r="AT24" s="28">
        <v>37.763370038396303</v>
      </c>
      <c r="AU24" s="28">
        <v>37.752989854267398</v>
      </c>
      <c r="AV24" s="28">
        <v>37.635901853678199</v>
      </c>
      <c r="AW24" s="28">
        <v>37.603916618029203</v>
      </c>
      <c r="AX24" s="28">
        <v>37.507609886244602</v>
      </c>
      <c r="AY24" s="28">
        <v>37.507608886244597</v>
      </c>
      <c r="AZ24" s="28">
        <v>37.5076078862446</v>
      </c>
      <c r="BA24" s="28">
        <v>37.503480117417901</v>
      </c>
      <c r="BB24" s="28">
        <v>37.315959730076301</v>
      </c>
      <c r="BC24" s="28">
        <v>37.165979082230898</v>
      </c>
      <c r="BD24" s="28">
        <v>37.0637412913959</v>
      </c>
      <c r="BE24" s="28">
        <v>36.977276524917599</v>
      </c>
      <c r="BF24" s="28">
        <v>36.926790748326397</v>
      </c>
      <c r="BG24" s="28">
        <v>36.781250800444298</v>
      </c>
      <c r="BH24" s="28">
        <v>36.640837248174002</v>
      </c>
      <c r="BI24" s="28">
        <v>36.496598894829098</v>
      </c>
      <c r="BJ24" s="28">
        <v>36.496597894829101</v>
      </c>
      <c r="BK24" s="28">
        <v>36.4774556958644</v>
      </c>
      <c r="BL24" s="28">
        <v>36.399400392709303</v>
      </c>
      <c r="BM24" s="28">
        <v>36.399399392709299</v>
      </c>
      <c r="BN24" s="28">
        <v>36.399398392709301</v>
      </c>
      <c r="BO24" s="28">
        <v>36.399397392709297</v>
      </c>
    </row>
    <row r="25" spans="1:67" x14ac:dyDescent="0.3">
      <c r="A25" s="28">
        <v>21</v>
      </c>
      <c r="B25" s="35">
        <v>37.216714730903099</v>
      </c>
      <c r="C25" s="24">
        <v>21</v>
      </c>
      <c r="D25" s="35">
        <v>37.216714730903099</v>
      </c>
      <c r="E25" s="28">
        <v>37.283426220129897</v>
      </c>
      <c r="F25" s="28">
        <v>37.552190420258697</v>
      </c>
      <c r="G25" s="28">
        <v>37.717444870766201</v>
      </c>
      <c r="H25" s="28">
        <v>38.032703697930799</v>
      </c>
      <c r="I25" s="28">
        <v>38.194434106647002</v>
      </c>
      <c r="J25" s="28">
        <v>38.388250686898402</v>
      </c>
      <c r="K25" s="28">
        <v>38.538428381512901</v>
      </c>
      <c r="L25" s="28">
        <v>38.750687695425803</v>
      </c>
      <c r="M25" s="28">
        <v>38.777001543643301</v>
      </c>
      <c r="N25" s="28">
        <v>38.804042982981599</v>
      </c>
      <c r="O25" s="28">
        <v>38.710543408652299</v>
      </c>
      <c r="P25" s="28">
        <v>38.478440799473297</v>
      </c>
      <c r="Q25" s="28">
        <v>38.436161400335401</v>
      </c>
      <c r="R25" s="28">
        <v>38.436160400335403</v>
      </c>
      <c r="S25" s="28">
        <v>38.312521698618497</v>
      </c>
      <c r="T25" s="28">
        <v>38.270756552557998</v>
      </c>
      <c r="U25" s="28">
        <v>38.256365626118701</v>
      </c>
      <c r="V25" s="28">
        <v>38.089330241825401</v>
      </c>
      <c r="W25" s="28">
        <v>38.019043148794999</v>
      </c>
      <c r="X25" s="28">
        <v>37.964934176495802</v>
      </c>
      <c r="Y25" s="28">
        <v>37.903622472312897</v>
      </c>
      <c r="Z25" s="28">
        <v>37.903621472312899</v>
      </c>
      <c r="AA25" s="28">
        <v>37.852264520632801</v>
      </c>
      <c r="AB25" s="28">
        <v>37.809988633593498</v>
      </c>
      <c r="AC25" s="28">
        <v>37.771525361891399</v>
      </c>
      <c r="AD25" s="28">
        <v>37.731156590973299</v>
      </c>
      <c r="AE25" s="28">
        <v>37.688949243187402</v>
      </c>
      <c r="AF25" s="28">
        <v>37.650234943995002</v>
      </c>
      <c r="AG25" s="28">
        <v>37.561488697694401</v>
      </c>
      <c r="AH25" s="28">
        <v>37.542108875186699</v>
      </c>
      <c r="AI25" s="28">
        <v>37.542107875186701</v>
      </c>
      <c r="AJ25" s="33">
        <v>37.300542627944097</v>
      </c>
      <c r="AK25" s="28">
        <v>37.494640702070903</v>
      </c>
      <c r="AL25" s="28">
        <v>37.575933389334402</v>
      </c>
      <c r="AM25" s="28">
        <v>37.704429686861701</v>
      </c>
      <c r="AN25" s="28">
        <v>37.704430686861699</v>
      </c>
      <c r="AO25" s="28">
        <v>37.7752492593022</v>
      </c>
      <c r="AP25" s="28">
        <v>37.790354975196202</v>
      </c>
      <c r="AQ25" s="28">
        <v>37.816091182053803</v>
      </c>
      <c r="AR25" s="28">
        <v>37.872324895036002</v>
      </c>
      <c r="AS25" s="28">
        <v>37.906557616753702</v>
      </c>
      <c r="AT25" s="28">
        <v>37.8636604979163</v>
      </c>
      <c r="AU25" s="28">
        <v>37.850344682063501</v>
      </c>
      <c r="AV25" s="28">
        <v>37.7288308233164</v>
      </c>
      <c r="AW25" s="28">
        <v>37.693010736788899</v>
      </c>
      <c r="AX25" s="28">
        <v>37.5971401005229</v>
      </c>
      <c r="AY25" s="28">
        <v>37.597139100522902</v>
      </c>
      <c r="AZ25" s="28">
        <v>37.597138100522997</v>
      </c>
      <c r="BA25" s="28">
        <v>37.581914491986197</v>
      </c>
      <c r="BB25" s="28">
        <v>37.395727635836501</v>
      </c>
      <c r="BC25" s="28">
        <v>37.250775600465303</v>
      </c>
      <c r="BD25" s="28">
        <v>37.153230724853202</v>
      </c>
      <c r="BE25" s="28">
        <v>37.060147250737202</v>
      </c>
      <c r="BF25" s="28">
        <v>37.010479288277502</v>
      </c>
      <c r="BG25" s="28">
        <v>36.863410573405197</v>
      </c>
      <c r="BH25" s="28">
        <v>36.727046852482601</v>
      </c>
      <c r="BI25" s="28">
        <v>36.591582972847498</v>
      </c>
      <c r="BJ25" s="28">
        <v>36.5915819728475</v>
      </c>
      <c r="BK25" s="28">
        <v>36.572184980148798</v>
      </c>
      <c r="BL25" s="28">
        <v>36.493429786714998</v>
      </c>
      <c r="BM25" s="28">
        <v>36.493428786715</v>
      </c>
      <c r="BN25" s="28">
        <v>36.493427786715003</v>
      </c>
      <c r="BO25" s="28">
        <v>36.493426786714998</v>
      </c>
    </row>
    <row r="26" spans="1:67" x14ac:dyDescent="0.3">
      <c r="C26" s="48" t="s">
        <v>38</v>
      </c>
      <c r="D26" s="39">
        <f t="shared" ref="D26:AI26" si="0">AVERAGE(D5:D25)-AVERAGE($B5:$B25)</f>
        <v>0</v>
      </c>
      <c r="E26" s="39">
        <f t="shared" si="0"/>
        <v>0.21999999999999176</v>
      </c>
      <c r="F26" s="39">
        <f t="shared" si="0"/>
        <v>0.4900000000000162</v>
      </c>
      <c r="G26" s="39">
        <f t="shared" si="0"/>
        <v>0.64999999999999858</v>
      </c>
      <c r="H26" s="39">
        <f t="shared" si="0"/>
        <v>0.96000000000000796</v>
      </c>
      <c r="I26" s="39">
        <f t="shared" si="0"/>
        <v>1.1000000000000156</v>
      </c>
      <c r="J26" s="39">
        <f t="shared" si="0"/>
        <v>1.269999999999996</v>
      </c>
      <c r="K26" s="39">
        <f t="shared" si="0"/>
        <v>1.4000000000000057</v>
      </c>
      <c r="L26" s="39">
        <f t="shared" si="0"/>
        <v>1.5800000000000196</v>
      </c>
      <c r="M26" s="39">
        <f t="shared" si="0"/>
        <v>1.5901855362521502</v>
      </c>
      <c r="N26" s="39">
        <f t="shared" si="0"/>
        <v>1.6100000000000065</v>
      </c>
      <c r="O26" s="39">
        <f t="shared" si="0"/>
        <v>1.5563622074453889</v>
      </c>
      <c r="P26" s="39">
        <f t="shared" si="0"/>
        <v>1.3400000000000034</v>
      </c>
      <c r="Q26" s="39">
        <f t="shared" si="0"/>
        <v>1.3198456950736954</v>
      </c>
      <c r="R26" s="39">
        <f t="shared" si="0"/>
        <v>1.3198446950737051</v>
      </c>
      <c r="S26" s="39">
        <f t="shared" si="0"/>
        <v>1.2499913228733206</v>
      </c>
      <c r="T26" s="39">
        <f t="shared" si="0"/>
        <v>1.2298547643017912</v>
      </c>
      <c r="U26" s="39">
        <f t="shared" si="0"/>
        <v>1.2271528411936004</v>
      </c>
      <c r="V26" s="39">
        <f t="shared" si="0"/>
        <v>1.0899999999999963</v>
      </c>
      <c r="W26" s="39">
        <f t="shared" si="0"/>
        <v>1.029999999999994</v>
      </c>
      <c r="X26" s="39">
        <f t="shared" si="0"/>
        <v>0.98000000000001819</v>
      </c>
      <c r="Y26" s="39">
        <f t="shared" si="0"/>
        <v>0.92000000000000881</v>
      </c>
      <c r="Z26" s="39">
        <f t="shared" si="0"/>
        <v>0.91999900000001134</v>
      </c>
      <c r="AA26" s="39">
        <f t="shared" si="0"/>
        <v>0.88000000000001677</v>
      </c>
      <c r="AB26" s="39">
        <f t="shared" si="0"/>
        <v>0.84000000000001052</v>
      </c>
      <c r="AC26" s="39">
        <f t="shared" si="0"/>
        <v>0.79999999999999716</v>
      </c>
      <c r="AD26" s="39">
        <f t="shared" si="0"/>
        <v>0.76000000000000512</v>
      </c>
      <c r="AE26" s="39">
        <f t="shared" si="0"/>
        <v>0.71999999999999176</v>
      </c>
      <c r="AF26" s="39">
        <f t="shared" si="0"/>
        <v>0.68000000000002103</v>
      </c>
      <c r="AG26" s="39">
        <f t="shared" si="0"/>
        <v>0.58999999999999631</v>
      </c>
      <c r="AH26" s="39">
        <f t="shared" si="0"/>
        <v>0.57000000000000739</v>
      </c>
      <c r="AI26" s="39">
        <f t="shared" si="0"/>
        <v>0.56999900000000991</v>
      </c>
      <c r="AJ26" s="46">
        <f t="shared" ref="AJ26:BO26" si="1">AVERAGE(AJ5:AJ25)-AVERAGE($AJ5:$AJ25)</f>
        <v>0</v>
      </c>
      <c r="AK26" s="46">
        <f t="shared" si="1"/>
        <v>0.22341667000000598</v>
      </c>
      <c r="AL26" s="46">
        <f t="shared" si="1"/>
        <v>0.30341667000000427</v>
      </c>
      <c r="AM26" s="46">
        <f t="shared" si="1"/>
        <v>0.43341667000000683</v>
      </c>
      <c r="AN26" s="46">
        <f t="shared" si="1"/>
        <v>0.43341767000000431</v>
      </c>
      <c r="AO26" s="46">
        <f t="shared" si="1"/>
        <v>0.49343018913128134</v>
      </c>
      <c r="AP26" s="46">
        <f t="shared" si="1"/>
        <v>0.5043814739917849</v>
      </c>
      <c r="AQ26" s="46">
        <f t="shared" si="1"/>
        <v>0.52389301606226724</v>
      </c>
      <c r="AR26" s="46">
        <f t="shared" si="1"/>
        <v>0.57346335462347042</v>
      </c>
      <c r="AS26" s="46">
        <f t="shared" si="1"/>
        <v>0.60341667000001564</v>
      </c>
      <c r="AT26" s="46">
        <f t="shared" si="1"/>
        <v>0.56341666999999518</v>
      </c>
      <c r="AU26" s="46">
        <f t="shared" si="1"/>
        <v>0.55327650166768905</v>
      </c>
      <c r="AV26" s="46">
        <f t="shared" si="1"/>
        <v>0.43341667000000683</v>
      </c>
      <c r="AW26" s="46">
        <f t="shared" si="1"/>
        <v>0.40339962569904486</v>
      </c>
      <c r="AX26" s="46">
        <f t="shared" si="1"/>
        <v>0.31341666999999518</v>
      </c>
      <c r="AY26" s="46">
        <f t="shared" si="1"/>
        <v>0.3134156699999977</v>
      </c>
      <c r="AZ26" s="46">
        <f t="shared" si="1"/>
        <v>0.31341467000000733</v>
      </c>
      <c r="BA26" s="46">
        <f t="shared" si="1"/>
        <v>0.3001298266213368</v>
      </c>
      <c r="BB26" s="46">
        <f t="shared" si="1"/>
        <v>0.12341667000000456</v>
      </c>
      <c r="BC26" s="46">
        <f t="shared" si="1"/>
        <v>-2.6583329999994021E-2</v>
      </c>
      <c r="BD26" s="46">
        <f t="shared" si="1"/>
        <v>-0.12658332999998123</v>
      </c>
      <c r="BE26" s="46">
        <f t="shared" si="1"/>
        <v>-0.21658332999998464</v>
      </c>
      <c r="BF26" s="46">
        <f t="shared" si="1"/>
        <v>-0.26658332999998891</v>
      </c>
      <c r="BG26" s="46">
        <f t="shared" si="1"/>
        <v>-0.41658332999998038</v>
      </c>
      <c r="BH26" s="46">
        <f t="shared" si="1"/>
        <v>-0.55658332999998095</v>
      </c>
      <c r="BI26" s="46">
        <f t="shared" si="1"/>
        <v>-0.69658332999999573</v>
      </c>
      <c r="BJ26" s="46">
        <f t="shared" si="1"/>
        <v>-0.69658433000000031</v>
      </c>
      <c r="BK26" s="46">
        <f t="shared" si="1"/>
        <v>-0.71658332999999885</v>
      </c>
      <c r="BL26" s="46">
        <f t="shared" si="1"/>
        <v>-0.79658332999999715</v>
      </c>
      <c r="BM26" s="46">
        <f t="shared" si="1"/>
        <v>-0.79658432999999462</v>
      </c>
      <c r="BN26" s="46">
        <f t="shared" si="1"/>
        <v>-0.7965853299999921</v>
      </c>
      <c r="BO26" s="46">
        <f t="shared" si="1"/>
        <v>-0.79658632999998957</v>
      </c>
    </row>
    <row r="27" spans="1:67" x14ac:dyDescent="0.3">
      <c r="C27" s="42" t="s">
        <v>35</v>
      </c>
      <c r="D27" s="41">
        <f t="shared" ref="D27:AI27" si="2">AVERAGE(D5:D25)</f>
        <v>36.539999999999949</v>
      </c>
      <c r="E27" s="41">
        <f t="shared" si="2"/>
        <v>36.759999999999941</v>
      </c>
      <c r="F27" s="41">
        <f t="shared" si="2"/>
        <v>37.029999999999966</v>
      </c>
      <c r="G27" s="41">
        <f t="shared" si="2"/>
        <v>37.189999999999948</v>
      </c>
      <c r="H27" s="41">
        <f t="shared" si="2"/>
        <v>37.499999999999957</v>
      </c>
      <c r="I27" s="41">
        <f t="shared" si="2"/>
        <v>37.639999999999965</v>
      </c>
      <c r="J27" s="41">
        <f t="shared" si="2"/>
        <v>37.809999999999945</v>
      </c>
      <c r="K27" s="41">
        <f t="shared" si="2"/>
        <v>37.939999999999955</v>
      </c>
      <c r="L27" s="41">
        <f t="shared" si="2"/>
        <v>38.119999999999969</v>
      </c>
      <c r="M27" s="41">
        <f t="shared" si="2"/>
        <v>38.1301855362521</v>
      </c>
      <c r="N27" s="41">
        <f t="shared" si="2"/>
        <v>38.149999999999956</v>
      </c>
      <c r="O27" s="41">
        <f t="shared" si="2"/>
        <v>38.096362207445338</v>
      </c>
      <c r="P27" s="41">
        <f t="shared" si="2"/>
        <v>37.879999999999953</v>
      </c>
      <c r="Q27" s="41">
        <f t="shared" si="2"/>
        <v>37.859845695073645</v>
      </c>
      <c r="R27" s="41">
        <f t="shared" si="2"/>
        <v>37.859844695073654</v>
      </c>
      <c r="S27" s="41">
        <f t="shared" si="2"/>
        <v>37.78999132287327</v>
      </c>
      <c r="T27" s="41">
        <f t="shared" si="2"/>
        <v>37.769854764301741</v>
      </c>
      <c r="U27" s="41">
        <f t="shared" si="2"/>
        <v>37.76715284119355</v>
      </c>
      <c r="V27" s="41">
        <f t="shared" si="2"/>
        <v>37.629999999999946</v>
      </c>
      <c r="W27" s="41">
        <f t="shared" si="2"/>
        <v>37.569999999999943</v>
      </c>
      <c r="X27" s="41">
        <f t="shared" si="2"/>
        <v>37.519999999999968</v>
      </c>
      <c r="Y27" s="41">
        <f t="shared" si="2"/>
        <v>37.459999999999958</v>
      </c>
      <c r="Z27" s="41">
        <f t="shared" si="2"/>
        <v>37.459998999999961</v>
      </c>
      <c r="AA27" s="41">
        <f t="shared" si="2"/>
        <v>37.419999999999966</v>
      </c>
      <c r="AB27" s="41">
        <f t="shared" si="2"/>
        <v>37.37999999999996</v>
      </c>
      <c r="AC27" s="41">
        <f t="shared" si="2"/>
        <v>37.339999999999947</v>
      </c>
      <c r="AD27" s="41">
        <f t="shared" si="2"/>
        <v>37.299999999999955</v>
      </c>
      <c r="AE27" s="41">
        <f t="shared" si="2"/>
        <v>37.259999999999941</v>
      </c>
      <c r="AF27" s="41">
        <f t="shared" si="2"/>
        <v>37.21999999999997</v>
      </c>
      <c r="AG27" s="41">
        <f t="shared" si="2"/>
        <v>37.129999999999946</v>
      </c>
      <c r="AH27" s="41">
        <f t="shared" si="2"/>
        <v>37.109999999999957</v>
      </c>
      <c r="AI27" s="41">
        <f t="shared" si="2"/>
        <v>37.109998999999959</v>
      </c>
      <c r="AJ27" s="46">
        <f t="shared" ref="AJ27:BO27" si="3">AVERAGE(AJ5:AJ25)</f>
        <v>37.146583329999942</v>
      </c>
      <c r="AK27" s="46">
        <f t="shared" si="3"/>
        <v>37.369999999999948</v>
      </c>
      <c r="AL27" s="46">
        <f t="shared" si="3"/>
        <v>37.449999999999946</v>
      </c>
      <c r="AM27" s="46">
        <f t="shared" si="3"/>
        <v>37.579999999999949</v>
      </c>
      <c r="AN27" s="46">
        <f t="shared" si="3"/>
        <v>37.580000999999946</v>
      </c>
      <c r="AO27" s="46">
        <f t="shared" si="3"/>
        <v>37.640013519131223</v>
      </c>
      <c r="AP27" s="46">
        <f t="shared" si="3"/>
        <v>37.650964803991727</v>
      </c>
      <c r="AQ27" s="46">
        <f t="shared" si="3"/>
        <v>37.670476346062209</v>
      </c>
      <c r="AR27" s="46">
        <f t="shared" si="3"/>
        <v>37.720046684623412</v>
      </c>
      <c r="AS27" s="46">
        <f t="shared" si="3"/>
        <v>37.749999999999957</v>
      </c>
      <c r="AT27" s="46">
        <f t="shared" si="3"/>
        <v>37.709999999999937</v>
      </c>
      <c r="AU27" s="46">
        <f t="shared" si="3"/>
        <v>37.699859831667631</v>
      </c>
      <c r="AV27" s="46">
        <f t="shared" si="3"/>
        <v>37.579999999999949</v>
      </c>
      <c r="AW27" s="46">
        <f t="shared" si="3"/>
        <v>37.549982955698987</v>
      </c>
      <c r="AX27" s="46">
        <f t="shared" si="3"/>
        <v>37.459999999999937</v>
      </c>
      <c r="AY27" s="46">
        <f t="shared" si="3"/>
        <v>37.459998999999939</v>
      </c>
      <c r="AZ27" s="46">
        <f t="shared" si="3"/>
        <v>37.459997999999949</v>
      </c>
      <c r="BA27" s="46">
        <f t="shared" si="3"/>
        <v>37.446713156621279</v>
      </c>
      <c r="BB27" s="46">
        <f t="shared" si="3"/>
        <v>37.269999999999946</v>
      </c>
      <c r="BC27" s="46">
        <f t="shared" si="3"/>
        <v>37.119999999999948</v>
      </c>
      <c r="BD27" s="46">
        <f t="shared" si="3"/>
        <v>37.01999999999996</v>
      </c>
      <c r="BE27" s="46">
        <f t="shared" si="3"/>
        <v>36.929999999999957</v>
      </c>
      <c r="BF27" s="46">
        <f t="shared" si="3"/>
        <v>36.879999999999953</v>
      </c>
      <c r="BG27" s="46">
        <f t="shared" si="3"/>
        <v>36.729999999999961</v>
      </c>
      <c r="BH27" s="46">
        <f t="shared" si="3"/>
        <v>36.589999999999961</v>
      </c>
      <c r="BI27" s="46">
        <f t="shared" si="3"/>
        <v>36.449999999999946</v>
      </c>
      <c r="BJ27" s="46">
        <f t="shared" si="3"/>
        <v>36.449998999999941</v>
      </c>
      <c r="BK27" s="46">
        <f t="shared" si="3"/>
        <v>36.429999999999943</v>
      </c>
      <c r="BL27" s="46">
        <f t="shared" si="3"/>
        <v>36.349999999999945</v>
      </c>
      <c r="BM27" s="46">
        <f t="shared" si="3"/>
        <v>36.349998999999947</v>
      </c>
      <c r="BN27" s="46">
        <f t="shared" si="3"/>
        <v>36.34999799999995</v>
      </c>
      <c r="BO27" s="46">
        <f t="shared" si="3"/>
        <v>36.349996999999952</v>
      </c>
    </row>
    <row r="28" spans="1:67" x14ac:dyDescent="0.3">
      <c r="C28" s="42" t="s">
        <v>15</v>
      </c>
      <c r="D28" s="41">
        <f t="shared" ref="D28:AI28" si="4">STDEV(D5:D25)</f>
        <v>0.37000000000000549</v>
      </c>
      <c r="E28" s="41">
        <f t="shared" si="4"/>
        <v>0.28609594150552636</v>
      </c>
      <c r="F28" s="41">
        <f t="shared" si="4"/>
        <v>0.29118715315253596</v>
      </c>
      <c r="G28" s="41">
        <f t="shared" si="4"/>
        <v>0.29911513377860693</v>
      </c>
      <c r="H28" s="41">
        <f t="shared" si="4"/>
        <v>0.31040983512829157</v>
      </c>
      <c r="I28" s="41">
        <f t="shared" si="4"/>
        <v>0.32504325376575527</v>
      </c>
      <c r="J28" s="41">
        <f t="shared" si="4"/>
        <v>0.34211899341980567</v>
      </c>
      <c r="K28" s="41">
        <f t="shared" si="4"/>
        <v>0.35976236641034626</v>
      </c>
      <c r="L28" s="41">
        <f t="shared" si="4"/>
        <v>0.37535656897138803</v>
      </c>
      <c r="M28" s="41">
        <f t="shared" si="4"/>
        <v>0.3834248052871943</v>
      </c>
      <c r="N28" s="41">
        <f t="shared" si="4"/>
        <v>0.38999999999882295</v>
      </c>
      <c r="O28" s="41">
        <f t="shared" si="4"/>
        <v>0.39351823102730793</v>
      </c>
      <c r="P28" s="41">
        <f t="shared" si="4"/>
        <v>0.37535656897139974</v>
      </c>
      <c r="Q28" s="41">
        <f t="shared" si="4"/>
        <v>0.3620340717941522</v>
      </c>
      <c r="R28" s="41">
        <f t="shared" si="4"/>
        <v>0.36203407179415226</v>
      </c>
      <c r="S28" s="41">
        <f t="shared" si="4"/>
        <v>0.32540450644185126</v>
      </c>
      <c r="T28" s="41">
        <f t="shared" si="4"/>
        <v>0.31256025202308607</v>
      </c>
      <c r="U28" s="41">
        <f t="shared" si="4"/>
        <v>0.30860794769932137</v>
      </c>
      <c r="V28" s="41">
        <f t="shared" si="4"/>
        <v>0.29118715315259169</v>
      </c>
      <c r="W28" s="41">
        <f t="shared" si="4"/>
        <v>0.28609594150556239</v>
      </c>
      <c r="X28" s="41">
        <f t="shared" si="4"/>
        <v>0.28309272257152629</v>
      </c>
      <c r="Y28" s="41">
        <f t="shared" si="4"/>
        <v>0.28146089869925422</v>
      </c>
      <c r="Z28" s="41">
        <f t="shared" si="4"/>
        <v>0.28146089869924529</v>
      </c>
      <c r="AA28" s="41">
        <f t="shared" si="4"/>
        <v>0.28026309662387727</v>
      </c>
      <c r="AB28" s="41">
        <f t="shared" si="4"/>
        <v>0.28010030701537303</v>
      </c>
      <c r="AC28" s="41">
        <f t="shared" si="4"/>
        <v>0.28003560625538093</v>
      </c>
      <c r="AD28" s="41">
        <f t="shared" si="4"/>
        <v>0.28001176793464932</v>
      </c>
      <c r="AE28" s="41">
        <f t="shared" si="4"/>
        <v>0.28000362120498012</v>
      </c>
      <c r="AF28" s="41">
        <f t="shared" si="4"/>
        <v>0.2800010374919974</v>
      </c>
      <c r="AG28" s="41">
        <f t="shared" si="4"/>
        <v>0.28000027675447492</v>
      </c>
      <c r="AH28" s="41">
        <f t="shared" si="4"/>
        <v>0.28000006873539912</v>
      </c>
      <c r="AI28" s="41">
        <f t="shared" si="4"/>
        <v>0.28000006873539912</v>
      </c>
      <c r="AJ28" s="46">
        <f t="shared" ref="AJ28:BO28" si="5">STDEV(AJ5:AJ25)</f>
        <v>0.31999999999999168</v>
      </c>
      <c r="AK28" s="46">
        <f t="shared" si="5"/>
        <v>0.27694834512141547</v>
      </c>
      <c r="AL28" s="46">
        <f t="shared" si="5"/>
        <v>0.28298121768465367</v>
      </c>
      <c r="AM28" s="46">
        <f t="shared" si="5"/>
        <v>0.29231301601391957</v>
      </c>
      <c r="AN28" s="46">
        <f t="shared" si="5"/>
        <v>0.2923130160139189</v>
      </c>
      <c r="AO28" s="46">
        <f t="shared" si="5"/>
        <v>0.32067990137239483</v>
      </c>
      <c r="AP28" s="46">
        <f t="shared" si="5"/>
        <v>0.33294772562208902</v>
      </c>
      <c r="AQ28" s="46">
        <f t="shared" si="5"/>
        <v>0.34802449567164084</v>
      </c>
      <c r="AR28" s="46">
        <f t="shared" si="5"/>
        <v>0.36364964160165753</v>
      </c>
      <c r="AS28" s="46">
        <f t="shared" si="5"/>
        <v>0.36999999999885802</v>
      </c>
      <c r="AT28" s="46">
        <f t="shared" si="5"/>
        <v>0.36591894570976585</v>
      </c>
      <c r="AU28" s="46">
        <f t="shared" si="5"/>
        <v>0.35658491610368304</v>
      </c>
      <c r="AV28" s="46">
        <f t="shared" si="5"/>
        <v>0.33872892787803749</v>
      </c>
      <c r="AW28" s="46">
        <f t="shared" si="5"/>
        <v>0.32217610990200657</v>
      </c>
      <c r="AX28" s="46">
        <f t="shared" si="5"/>
        <v>0.30528660814492325</v>
      </c>
      <c r="AY28" s="46">
        <f t="shared" si="5"/>
        <v>0.30528660814492609</v>
      </c>
      <c r="AZ28" s="46">
        <f t="shared" si="5"/>
        <v>0.30528660814492825</v>
      </c>
      <c r="BA28" s="46">
        <f t="shared" si="5"/>
        <v>0.28879746240703424</v>
      </c>
      <c r="BB28" s="46">
        <f t="shared" si="5"/>
        <v>0.273421811830312</v>
      </c>
      <c r="BC28" s="46">
        <f t="shared" si="5"/>
        <v>0.27155038535905374</v>
      </c>
      <c r="BD28" s="46">
        <f t="shared" si="5"/>
        <v>0.27064629677157265</v>
      </c>
      <c r="BE28" s="46">
        <f t="shared" si="5"/>
        <v>0.27024787521682342</v>
      </c>
      <c r="BF28" s="46">
        <f t="shared" si="5"/>
        <v>0.2700874667558984</v>
      </c>
      <c r="BG28" s="46">
        <f t="shared" si="5"/>
        <v>0.27002839629756165</v>
      </c>
      <c r="BH28" s="46">
        <f t="shared" si="5"/>
        <v>0.27000848182268955</v>
      </c>
      <c r="BI28" s="46">
        <f t="shared" si="5"/>
        <v>0.27000233090928327</v>
      </c>
      <c r="BJ28" s="46">
        <f t="shared" si="5"/>
        <v>0.27000233090928316</v>
      </c>
      <c r="BK28" s="46">
        <f t="shared" si="5"/>
        <v>0.27000013709509035</v>
      </c>
      <c r="BL28" s="46">
        <f t="shared" si="5"/>
        <v>0.27000002934099471</v>
      </c>
      <c r="BM28" s="46">
        <f t="shared" si="5"/>
        <v>0.27000002934099454</v>
      </c>
      <c r="BN28" s="46">
        <f t="shared" si="5"/>
        <v>0.27000002934099482</v>
      </c>
      <c r="BO28" s="46">
        <f t="shared" si="5"/>
        <v>0.27000002934099104</v>
      </c>
    </row>
    <row r="29" spans="1:67" x14ac:dyDescent="0.3">
      <c r="C29" s="48" t="s">
        <v>27</v>
      </c>
      <c r="D29" s="39">
        <f t="shared" ref="D29:AI29" si="6">MEDIAN(D5:D25)</f>
        <v>36.549153005801401</v>
      </c>
      <c r="E29" s="39">
        <f t="shared" si="6"/>
        <v>36.767003467329303</v>
      </c>
      <c r="F29" s="39">
        <f t="shared" si="6"/>
        <v>37.037390449303899</v>
      </c>
      <c r="G29" s="39">
        <f t="shared" si="6"/>
        <v>37.198607975114697</v>
      </c>
      <c r="H29" s="39">
        <f t="shared" si="6"/>
        <v>37.501644938760101</v>
      </c>
      <c r="I29" s="39">
        <f t="shared" si="6"/>
        <v>37.638173480836997</v>
      </c>
      <c r="J29" s="39">
        <f t="shared" si="6"/>
        <v>37.799943067944703</v>
      </c>
      <c r="K29" s="39">
        <f t="shared" si="6"/>
        <v>37.922895589300502</v>
      </c>
      <c r="L29" s="39">
        <f t="shared" si="6"/>
        <v>38.103864075621701</v>
      </c>
      <c r="M29" s="39">
        <f t="shared" si="6"/>
        <v>38.112285685578797</v>
      </c>
      <c r="N29" s="39">
        <f t="shared" si="6"/>
        <v>38.134673196457904</v>
      </c>
      <c r="O29" s="39">
        <f t="shared" si="6"/>
        <v>38.072865302255003</v>
      </c>
      <c r="P29" s="39">
        <f t="shared" si="6"/>
        <v>37.8655340083723</v>
      </c>
      <c r="Q29" s="39">
        <f t="shared" si="6"/>
        <v>37.8474461290688</v>
      </c>
      <c r="R29" s="39">
        <f t="shared" si="6"/>
        <v>37.847445129068802</v>
      </c>
      <c r="S29" s="39">
        <f t="shared" si="6"/>
        <v>37.774667148604699</v>
      </c>
      <c r="T29" s="39">
        <f t="shared" si="6"/>
        <v>37.756031765682302</v>
      </c>
      <c r="U29" s="39">
        <f t="shared" si="6"/>
        <v>37.756030765682297</v>
      </c>
      <c r="V29" s="39">
        <f t="shared" si="6"/>
        <v>37.617060959212203</v>
      </c>
      <c r="W29" s="39">
        <f t="shared" si="6"/>
        <v>37.555196281413401</v>
      </c>
      <c r="X29" s="39">
        <f t="shared" si="6"/>
        <v>37.505559813241</v>
      </c>
      <c r="Y29" s="39">
        <f t="shared" si="6"/>
        <v>37.447384950523897</v>
      </c>
      <c r="Z29" s="39">
        <f t="shared" si="6"/>
        <v>37.4473839505239</v>
      </c>
      <c r="AA29" s="39">
        <f t="shared" si="6"/>
        <v>37.408344706437802</v>
      </c>
      <c r="AB29" s="39">
        <f t="shared" si="6"/>
        <v>37.369518753608098</v>
      </c>
      <c r="AC29" s="39">
        <f t="shared" si="6"/>
        <v>37.330565581411399</v>
      </c>
      <c r="AD29" s="39">
        <f t="shared" si="6"/>
        <v>37.291325956590399</v>
      </c>
      <c r="AE29" s="39">
        <f t="shared" si="6"/>
        <v>37.252009354328102</v>
      </c>
      <c r="AF29" s="39">
        <f t="shared" si="6"/>
        <v>37.213604352480097</v>
      </c>
      <c r="AG29" s="39">
        <f t="shared" si="6"/>
        <v>37.126440439738403</v>
      </c>
      <c r="AH29" s="39">
        <f t="shared" si="6"/>
        <v>37.107191372613897</v>
      </c>
      <c r="AI29" s="39">
        <f t="shared" si="6"/>
        <v>37.1071903726139</v>
      </c>
      <c r="AJ29" s="46">
        <f t="shared" ref="AJ29:BO29" si="7">MEDIAN(AJ5:AJ25)</f>
        <v>37.0846164763419</v>
      </c>
      <c r="AK29" s="46">
        <f t="shared" si="7"/>
        <v>37.305031231243802</v>
      </c>
      <c r="AL29" s="46">
        <f t="shared" si="7"/>
        <v>37.398501283956499</v>
      </c>
      <c r="AM29" s="46">
        <f t="shared" si="7"/>
        <v>37.531882533138102</v>
      </c>
      <c r="AN29" s="46">
        <f t="shared" si="7"/>
        <v>37.5318835331381</v>
      </c>
      <c r="AO29" s="46">
        <f t="shared" si="7"/>
        <v>37.580581210224501</v>
      </c>
      <c r="AP29" s="46">
        <f t="shared" si="7"/>
        <v>37.584918410952298</v>
      </c>
      <c r="AQ29" s="46">
        <f t="shared" si="7"/>
        <v>37.602745243101502</v>
      </c>
      <c r="AR29" s="46">
        <f t="shared" si="7"/>
        <v>37.651995930041998</v>
      </c>
      <c r="AS29" s="46">
        <f t="shared" si="7"/>
        <v>37.681052184067603</v>
      </c>
      <c r="AT29" s="46">
        <f t="shared" si="7"/>
        <v>37.642443337141501</v>
      </c>
      <c r="AU29" s="46">
        <f t="shared" si="7"/>
        <v>37.635574885395698</v>
      </c>
      <c r="AV29" s="46">
        <f t="shared" si="7"/>
        <v>37.521426656415201</v>
      </c>
      <c r="AW29" s="46">
        <f t="shared" si="7"/>
        <v>37.492395572292502</v>
      </c>
      <c r="AX29" s="46">
        <f t="shared" si="7"/>
        <v>37.408926812350103</v>
      </c>
      <c r="AY29" s="46">
        <f t="shared" si="7"/>
        <v>37.408925812350098</v>
      </c>
      <c r="AZ29" s="46">
        <f t="shared" si="7"/>
        <v>37.408924812350101</v>
      </c>
      <c r="BA29" s="46">
        <f t="shared" si="7"/>
        <v>37.408923812350103</v>
      </c>
      <c r="BB29" s="46">
        <f t="shared" si="7"/>
        <v>37.205016169697998</v>
      </c>
      <c r="BC29" s="46">
        <f t="shared" si="7"/>
        <v>37.051757758880299</v>
      </c>
      <c r="BD29" s="46">
        <f t="shared" si="7"/>
        <v>36.954607482362597</v>
      </c>
      <c r="BE29" s="46">
        <f t="shared" si="7"/>
        <v>36.867481015149203</v>
      </c>
      <c r="BF29" s="46">
        <f t="shared" si="7"/>
        <v>36.8194723336699</v>
      </c>
      <c r="BG29" s="46">
        <f t="shared" si="7"/>
        <v>36.673808750013301</v>
      </c>
      <c r="BH29" s="46">
        <f t="shared" si="7"/>
        <v>36.533606116748103</v>
      </c>
      <c r="BI29" s="46">
        <f t="shared" si="7"/>
        <v>36.383916136542297</v>
      </c>
      <c r="BJ29" s="46">
        <f t="shared" si="7"/>
        <v>36.383915136542299</v>
      </c>
      <c r="BK29" s="46">
        <f t="shared" si="7"/>
        <v>36.363551173055697</v>
      </c>
      <c r="BL29" s="46">
        <f t="shared" si="7"/>
        <v>36.280928949737103</v>
      </c>
      <c r="BM29" s="46">
        <f t="shared" si="7"/>
        <v>36.280927949737098</v>
      </c>
      <c r="BN29" s="46">
        <f t="shared" si="7"/>
        <v>36.280926949737101</v>
      </c>
      <c r="BO29" s="46">
        <f t="shared" si="7"/>
        <v>36.280925949737103</v>
      </c>
    </row>
    <row r="34" spans="1:62" x14ac:dyDescent="0.3">
      <c r="D34" s="70" t="s">
        <v>4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 t="s">
        <v>5</v>
      </c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</row>
    <row r="35" spans="1:62" x14ac:dyDescent="0.3">
      <c r="C35" s="24" t="s">
        <v>37</v>
      </c>
      <c r="D35" s="35">
        <v>0</v>
      </c>
      <c r="E35" s="35">
        <v>5.5555555555559799E-3</v>
      </c>
      <c r="F35" s="35">
        <v>1.1111111111110961E-2</v>
      </c>
      <c r="G35" s="35">
        <v>1.6666666666666996E-2</v>
      </c>
      <c r="H35" s="35">
        <v>2.2222222222222976E-2</v>
      </c>
      <c r="I35" s="35">
        <v>2.7777777777777957E-2</v>
      </c>
      <c r="J35" s="35">
        <v>3.3333333333333992E-2</v>
      </c>
      <c r="K35" s="35">
        <v>3.8888888888888973E-2</v>
      </c>
      <c r="L35" s="35">
        <v>4.4444444444444953E-2</v>
      </c>
      <c r="M35" s="35">
        <v>4.9999999999999989E-2</v>
      </c>
      <c r="N35" s="35">
        <v>5.5555555555555969E-2</v>
      </c>
      <c r="O35" s="35">
        <v>6.1111111111111949E-2</v>
      </c>
      <c r="P35" s="35">
        <v>6.6666666666666985E-2</v>
      </c>
      <c r="Q35" s="35">
        <v>7.2222222222222965E-2</v>
      </c>
      <c r="R35" s="35">
        <v>7.7777777777778001E-2</v>
      </c>
      <c r="S35" s="35">
        <v>8.3333333333333981E-2</v>
      </c>
      <c r="T35" s="35">
        <v>8.8888888888888962E-2</v>
      </c>
      <c r="U35" s="35">
        <v>9.4444444444444997E-2</v>
      </c>
      <c r="V35" s="35">
        <v>9.9999999999999978E-2</v>
      </c>
      <c r="W35" s="35">
        <v>0.10555555555555596</v>
      </c>
      <c r="X35" s="35">
        <v>0.11111111111111199</v>
      </c>
      <c r="Y35" s="35">
        <v>0.11666666666666697</v>
      </c>
      <c r="Z35" s="35">
        <v>0.12222222222222295</v>
      </c>
      <c r="AA35" s="35">
        <v>0.12777777777777799</v>
      </c>
      <c r="AB35" s="35">
        <v>0.13333333333333397</v>
      </c>
      <c r="AC35" s="35">
        <v>0.13888888888888895</v>
      </c>
      <c r="AD35" s="35">
        <v>0.14444444444444499</v>
      </c>
      <c r="AE35" s="35">
        <v>0.14722222222222298</v>
      </c>
      <c r="AF35" s="35">
        <v>0.14999999999999997</v>
      </c>
      <c r="AG35" s="35">
        <v>0.15555555555555595</v>
      </c>
      <c r="AH35" s="35">
        <v>0.16111111111111293</v>
      </c>
      <c r="AI35" s="35">
        <v>0.16666666666666702</v>
      </c>
      <c r="AJ35" s="49">
        <v>0</v>
      </c>
      <c r="AK35" s="49">
        <v>5.5555555555559799E-3</v>
      </c>
      <c r="AL35" s="49">
        <v>1.1111111111110961E-2</v>
      </c>
      <c r="AM35" s="49">
        <v>1.6666666666666996E-2</v>
      </c>
      <c r="AN35" s="49">
        <v>2.2222222222222976E-2</v>
      </c>
      <c r="AO35" s="49">
        <v>2.7777777777777957E-2</v>
      </c>
      <c r="AP35" s="49">
        <v>3.3333333333333992E-2</v>
      </c>
      <c r="AQ35" s="49">
        <v>3.8888888888888973E-2</v>
      </c>
      <c r="AR35" s="49">
        <v>4.4444444444444953E-2</v>
      </c>
      <c r="AS35" s="49">
        <v>4.9999999999999989E-2</v>
      </c>
      <c r="AT35" s="49">
        <v>5.5555555555555969E-2</v>
      </c>
      <c r="AU35" s="49">
        <v>6.1111111111111949E-2</v>
      </c>
      <c r="AV35" s="49">
        <v>6.6666666666666985E-2</v>
      </c>
      <c r="AW35" s="49">
        <v>7.2222222222222965E-2</v>
      </c>
      <c r="AX35" s="49">
        <v>7.7777777777778001E-2</v>
      </c>
      <c r="AY35" s="49">
        <v>8.3333333333333981E-2</v>
      </c>
      <c r="AZ35" s="49">
        <v>8.8888888888888962E-2</v>
      </c>
      <c r="BA35" s="49">
        <v>9.4444444444444997E-2</v>
      </c>
      <c r="BB35" s="49">
        <v>9.9999999999999978E-2</v>
      </c>
      <c r="BC35" s="49">
        <v>0.10555555555555596</v>
      </c>
      <c r="BD35" s="49">
        <v>0.11111111111111199</v>
      </c>
      <c r="BE35" s="49">
        <v>0.11666666666666697</v>
      </c>
      <c r="BF35" s="49">
        <v>0.12222222222222295</v>
      </c>
      <c r="BG35" s="49">
        <v>0.12777777777777799</v>
      </c>
      <c r="BH35" s="49">
        <v>0.13333333333333397</v>
      </c>
      <c r="BI35" s="49">
        <v>0.13888888888888895</v>
      </c>
      <c r="BJ35" s="49">
        <v>0.14444444444444499</v>
      </c>
    </row>
    <row r="36" spans="1:62" x14ac:dyDescent="0.3">
      <c r="A36" s="28" t="s">
        <v>37</v>
      </c>
      <c r="B36" s="28" t="s">
        <v>36</v>
      </c>
      <c r="C36" s="24">
        <v>1</v>
      </c>
      <c r="D36" s="33">
        <f t="shared" ref="D36:AI36" si="8">D5-$B$5</f>
        <v>0</v>
      </c>
      <c r="E36" s="33">
        <f t="shared" si="8"/>
        <v>6.2176305700205603E-2</v>
      </c>
      <c r="F36" s="33">
        <f t="shared" si="8"/>
        <v>0.35296321799430075</v>
      </c>
      <c r="G36" s="33">
        <f t="shared" si="8"/>
        <v>0.51746251130900589</v>
      </c>
      <c r="H36" s="33">
        <f t="shared" si="8"/>
        <v>0.84531381675040507</v>
      </c>
      <c r="I36" s="33">
        <f t="shared" si="8"/>
        <v>1.0054088936709036</v>
      </c>
      <c r="J36" s="33">
        <f t="shared" si="8"/>
        <v>1.2392942609051047</v>
      </c>
      <c r="K36" s="33">
        <f t="shared" si="8"/>
        <v>1.4292361903468063</v>
      </c>
      <c r="L36" s="33">
        <f t="shared" si="8"/>
        <v>1.6444769462431026</v>
      </c>
      <c r="M36" s="33">
        <f t="shared" si="8"/>
        <v>1.6749450449998022</v>
      </c>
      <c r="N36" s="33">
        <f t="shared" si="8"/>
        <v>1.703734276762404</v>
      </c>
      <c r="O36" s="33">
        <f t="shared" si="8"/>
        <v>1.7037352767624014</v>
      </c>
      <c r="P36" s="33">
        <f t="shared" si="8"/>
        <v>1.4063983435231009</v>
      </c>
      <c r="Q36" s="33">
        <f t="shared" si="8"/>
        <v>1.3570320158513027</v>
      </c>
      <c r="R36" s="33">
        <f t="shared" si="8"/>
        <v>1.3570310158513053</v>
      </c>
      <c r="S36" s="33">
        <f t="shared" si="8"/>
        <v>1.2104434894075027</v>
      </c>
      <c r="T36" s="33">
        <f t="shared" si="8"/>
        <v>1.1618037696769008</v>
      </c>
      <c r="U36" s="33">
        <f t="shared" si="8"/>
        <v>1.1429049949549039</v>
      </c>
      <c r="V36" s="33">
        <f t="shared" si="8"/>
        <v>0.98889568442200471</v>
      </c>
      <c r="W36" s="33">
        <f t="shared" si="8"/>
        <v>0.91930335553010423</v>
      </c>
      <c r="X36" s="33">
        <f t="shared" si="8"/>
        <v>0.86114727304450156</v>
      </c>
      <c r="Y36" s="33">
        <f t="shared" si="8"/>
        <v>0.79926395751419932</v>
      </c>
      <c r="Z36" s="33">
        <f t="shared" si="8"/>
        <v>0.79926295751420184</v>
      </c>
      <c r="AA36" s="33">
        <f t="shared" si="8"/>
        <v>0.75979362266620143</v>
      </c>
      <c r="AB36" s="33">
        <f t="shared" si="8"/>
        <v>0.71845235753320225</v>
      </c>
      <c r="AC36" s="33">
        <f t="shared" si="8"/>
        <v>0.67772177831029978</v>
      </c>
      <c r="AD36" s="33">
        <f t="shared" si="8"/>
        <v>0.63630021323429986</v>
      </c>
      <c r="AE36" s="33">
        <f t="shared" si="8"/>
        <v>0.59736531829560136</v>
      </c>
      <c r="AF36" s="33">
        <f t="shared" si="8"/>
        <v>0.55235675566110132</v>
      </c>
      <c r="AG36" s="33">
        <f t="shared" si="8"/>
        <v>0.46297025995000496</v>
      </c>
      <c r="AH36" s="33">
        <f t="shared" si="8"/>
        <v>0.44330101405320477</v>
      </c>
      <c r="AI36" s="33">
        <f t="shared" si="8"/>
        <v>0.44330001405320019</v>
      </c>
      <c r="AJ36" s="47">
        <f t="shared" ref="AJ36:AJ56" si="9">AJ5-AJ5</f>
        <v>0</v>
      </c>
      <c r="AK36" s="47">
        <f t="shared" ref="AK36:BJ36" si="10">AK5-$AJ$5</f>
        <v>0.32201761303659993</v>
      </c>
      <c r="AL36" s="47">
        <f t="shared" si="10"/>
        <v>0.39518474095579847</v>
      </c>
      <c r="AM36" s="47">
        <f t="shared" si="10"/>
        <v>0.51393291027930132</v>
      </c>
      <c r="AN36" s="47">
        <f t="shared" si="10"/>
        <v>0.5139339102792988</v>
      </c>
      <c r="AO36" s="47">
        <f t="shared" si="10"/>
        <v>0.54846664107679999</v>
      </c>
      <c r="AP36" s="47">
        <f t="shared" si="10"/>
        <v>0.54846764107679746</v>
      </c>
      <c r="AQ36" s="47">
        <f t="shared" si="10"/>
        <v>0.54846864107680204</v>
      </c>
      <c r="AR36" s="47">
        <f t="shared" si="10"/>
        <v>0.58866739748069818</v>
      </c>
      <c r="AS36" s="47">
        <f t="shared" si="10"/>
        <v>0.61492431006890058</v>
      </c>
      <c r="AT36" s="47">
        <f t="shared" si="10"/>
        <v>0.57724690994629668</v>
      </c>
      <c r="AU36" s="47">
        <f t="shared" si="10"/>
        <v>0.57724590994629921</v>
      </c>
      <c r="AV36" s="47">
        <f t="shared" si="10"/>
        <v>0.4592471818979007</v>
      </c>
      <c r="AW36" s="47">
        <f t="shared" si="10"/>
        <v>0.44600185527880143</v>
      </c>
      <c r="AX36" s="47">
        <f t="shared" si="10"/>
        <v>0.37049475016870304</v>
      </c>
      <c r="AY36" s="47">
        <f t="shared" si="10"/>
        <v>0.37049375016869845</v>
      </c>
      <c r="AZ36" s="47">
        <f t="shared" si="10"/>
        <v>0.37049275016870098</v>
      </c>
      <c r="BA36" s="47">
        <f t="shared" si="10"/>
        <v>0.3704917501687035</v>
      </c>
      <c r="BB36" s="47">
        <f t="shared" si="10"/>
        <v>0.21785403863189856</v>
      </c>
      <c r="BC36" s="47">
        <f t="shared" si="10"/>
        <v>7.3100194713198619E-2</v>
      </c>
      <c r="BD36" s="47">
        <f t="shared" si="10"/>
        <v>-3.7092944664998129E-2</v>
      </c>
      <c r="BE36" s="47">
        <f t="shared" si="10"/>
        <v>-0.12768310098550018</v>
      </c>
      <c r="BF36" s="47">
        <f t="shared" si="10"/>
        <v>-0.17721542662099665</v>
      </c>
      <c r="BG36" s="47">
        <f t="shared" si="10"/>
        <v>-0.32919357721900155</v>
      </c>
      <c r="BH36" s="47">
        <f t="shared" si="10"/>
        <v>-0.46332000225869763</v>
      </c>
      <c r="BI36" s="47">
        <f t="shared" si="10"/>
        <v>-0.60359354148859978</v>
      </c>
      <c r="BJ36" s="47">
        <f t="shared" si="10"/>
        <v>-0.60359454148859726</v>
      </c>
    </row>
    <row r="37" spans="1:62" x14ac:dyDescent="0.3">
      <c r="A37" s="28">
        <v>1</v>
      </c>
      <c r="B37" s="29">
        <v>36.979999999999997</v>
      </c>
      <c r="C37" s="24">
        <v>2</v>
      </c>
      <c r="D37" s="33">
        <f t="shared" ref="D37:D56" si="11">D6-B6</f>
        <v>0</v>
      </c>
      <c r="E37" s="33">
        <f t="shared" ref="E37:AI37" si="12">E6-$B$6</f>
        <v>0.25258566450349917</v>
      </c>
      <c r="F37" s="33">
        <f t="shared" si="12"/>
        <v>0.53588212084639508</v>
      </c>
      <c r="G37" s="33">
        <f t="shared" si="12"/>
        <v>0.69632147447779857</v>
      </c>
      <c r="H37" s="33">
        <f t="shared" si="12"/>
        <v>0.9907615145034967</v>
      </c>
      <c r="I37" s="33">
        <f t="shared" si="12"/>
        <v>1.1269689401107001</v>
      </c>
      <c r="J37" s="33">
        <f t="shared" si="12"/>
        <v>1.2892867377105972</v>
      </c>
      <c r="K37" s="33">
        <f t="shared" si="12"/>
        <v>1.4274704145602968</v>
      </c>
      <c r="L37" s="33">
        <f t="shared" si="12"/>
        <v>1.5919296532551996</v>
      </c>
      <c r="M37" s="33">
        <f t="shared" si="12"/>
        <v>1.5968395285011994</v>
      </c>
      <c r="N37" s="33">
        <f t="shared" si="12"/>
        <v>1.616533297484601</v>
      </c>
      <c r="O37" s="33">
        <f t="shared" si="12"/>
        <v>1.5427081149071</v>
      </c>
      <c r="P37" s="33">
        <f t="shared" si="12"/>
        <v>1.3671002410525972</v>
      </c>
      <c r="Q37" s="33">
        <f t="shared" si="12"/>
        <v>1.3547910580587015</v>
      </c>
      <c r="R37" s="33">
        <f t="shared" si="12"/>
        <v>1.3547900580586969</v>
      </c>
      <c r="S37" s="33">
        <f t="shared" si="12"/>
        <v>1.3028009451779994</v>
      </c>
      <c r="T37" s="33">
        <f t="shared" si="12"/>
        <v>1.2901864337708986</v>
      </c>
      <c r="U37" s="33">
        <f t="shared" si="12"/>
        <v>1.2901854337709011</v>
      </c>
      <c r="V37" s="33">
        <f t="shared" si="12"/>
        <v>1.1596746876217949</v>
      </c>
      <c r="W37" s="33">
        <f t="shared" si="12"/>
        <v>1.103365257769795</v>
      </c>
      <c r="X37" s="33">
        <f t="shared" si="12"/>
        <v>1.047137087248899</v>
      </c>
      <c r="Y37" s="33">
        <f t="shared" si="12"/>
        <v>0.98934148571179747</v>
      </c>
      <c r="Z37" s="33">
        <f t="shared" si="12"/>
        <v>0.9893404857118</v>
      </c>
      <c r="AA37" s="33">
        <f t="shared" si="12"/>
        <v>0.95189104109329747</v>
      </c>
      <c r="AB37" s="33">
        <f t="shared" si="12"/>
        <v>0.91228255845759776</v>
      </c>
      <c r="AC37" s="33">
        <f t="shared" si="12"/>
        <v>0.8715621371488993</v>
      </c>
      <c r="AD37" s="33">
        <f t="shared" si="12"/>
        <v>0.83316215755879597</v>
      </c>
      <c r="AE37" s="33">
        <f t="shared" si="12"/>
        <v>0.79227886388159874</v>
      </c>
      <c r="AF37" s="33">
        <f t="shared" si="12"/>
        <v>0.75235837596069643</v>
      </c>
      <c r="AG37" s="33">
        <f t="shared" si="12"/>
        <v>0.66425616630269957</v>
      </c>
      <c r="AH37" s="33">
        <f t="shared" si="12"/>
        <v>0.64492781472469574</v>
      </c>
      <c r="AI37" s="33">
        <f t="shared" si="12"/>
        <v>0.64492681472469826</v>
      </c>
      <c r="AJ37" s="47">
        <f t="shared" si="9"/>
        <v>0</v>
      </c>
      <c r="AK37" s="47">
        <f t="shared" ref="AK37:BJ37" si="13">AK6-$AJ$6</f>
        <v>0.19933830478590409</v>
      </c>
      <c r="AL37" s="47">
        <f t="shared" si="13"/>
        <v>0.28101998341470136</v>
      </c>
      <c r="AM37" s="47">
        <f t="shared" si="13"/>
        <v>0.43001152504220386</v>
      </c>
      <c r="AN37" s="47">
        <f t="shared" si="13"/>
        <v>0.43001252504220133</v>
      </c>
      <c r="AO37" s="47">
        <f t="shared" si="13"/>
        <v>0.5113636582333001</v>
      </c>
      <c r="AP37" s="47">
        <f t="shared" si="13"/>
        <v>0.53183303088960088</v>
      </c>
      <c r="AQ37" s="47">
        <f t="shared" si="13"/>
        <v>0.56332218630330289</v>
      </c>
      <c r="AR37" s="47">
        <f t="shared" si="13"/>
        <v>0.6225655406449988</v>
      </c>
      <c r="AS37" s="47">
        <f t="shared" si="13"/>
        <v>0.65491973920369873</v>
      </c>
      <c r="AT37" s="47">
        <f t="shared" si="13"/>
        <v>0.60879972439570196</v>
      </c>
      <c r="AU37" s="47">
        <f t="shared" si="13"/>
        <v>0.59074375980249982</v>
      </c>
      <c r="AV37" s="47">
        <f t="shared" si="13"/>
        <v>0.46385569795430115</v>
      </c>
      <c r="AW37" s="47">
        <f t="shared" si="13"/>
        <v>0.42273731679959781</v>
      </c>
      <c r="AX37" s="47">
        <f t="shared" si="13"/>
        <v>0.32081592277769744</v>
      </c>
      <c r="AY37" s="47">
        <f t="shared" si="13"/>
        <v>0.32081492277779944</v>
      </c>
      <c r="AZ37" s="47">
        <f t="shared" si="13"/>
        <v>0.32081392277780196</v>
      </c>
      <c r="BA37" s="47">
        <f t="shared" si="13"/>
        <v>0.29863676668760064</v>
      </c>
      <c r="BB37" s="47">
        <f t="shared" si="13"/>
        <v>0.1127322695057984</v>
      </c>
      <c r="BC37" s="47">
        <f t="shared" si="13"/>
        <v>-4.4294801636397096E-2</v>
      </c>
      <c r="BD37" s="47">
        <f t="shared" si="13"/>
        <v>-0.1432440662788963</v>
      </c>
      <c r="BE37" s="47">
        <f t="shared" si="13"/>
        <v>-0.23014720074620243</v>
      </c>
      <c r="BF37" s="47">
        <f t="shared" si="13"/>
        <v>-0.2781232023988025</v>
      </c>
      <c r="BG37" s="47">
        <f t="shared" si="13"/>
        <v>-0.42778417543839709</v>
      </c>
      <c r="BH37" s="47">
        <f t="shared" si="13"/>
        <v>-0.57016902151359972</v>
      </c>
      <c r="BI37" s="47">
        <f t="shared" si="13"/>
        <v>-0.71634430732169818</v>
      </c>
      <c r="BJ37" s="47">
        <f t="shared" si="13"/>
        <v>-0.71634530732169566</v>
      </c>
    </row>
    <row r="38" spans="1:62" x14ac:dyDescent="0.3">
      <c r="A38" s="28">
        <v>2</v>
      </c>
      <c r="B38" s="30">
        <v>36.909999999999997</v>
      </c>
      <c r="C38" s="24">
        <v>3</v>
      </c>
      <c r="D38" s="33">
        <f t="shared" si="11"/>
        <v>0</v>
      </c>
      <c r="E38" s="33">
        <f t="shared" ref="E38:AI38" si="14">E7-$B$7</f>
        <v>0.20722707515309935</v>
      </c>
      <c r="F38" s="33">
        <f t="shared" si="14"/>
        <v>0.48119871032790229</v>
      </c>
      <c r="G38" s="33">
        <f t="shared" si="14"/>
        <v>0.63708468862670031</v>
      </c>
      <c r="H38" s="33">
        <f t="shared" si="14"/>
        <v>0.94003884379640112</v>
      </c>
      <c r="I38" s="33">
        <f t="shared" si="14"/>
        <v>1.0765673858732967</v>
      </c>
      <c r="J38" s="33">
        <f t="shared" si="14"/>
        <v>1.2383369729810028</v>
      </c>
      <c r="K38" s="33">
        <f t="shared" si="14"/>
        <v>1.3612894943368019</v>
      </c>
      <c r="L38" s="33">
        <f t="shared" si="14"/>
        <v>1.5624871701708969</v>
      </c>
      <c r="M38" s="33">
        <f t="shared" si="14"/>
        <v>1.5707500257672962</v>
      </c>
      <c r="N38" s="33">
        <f t="shared" si="14"/>
        <v>1.5919855521423969</v>
      </c>
      <c r="O38" s="33">
        <f t="shared" si="14"/>
        <v>1.5919865521424015</v>
      </c>
      <c r="P38" s="33">
        <f t="shared" si="14"/>
        <v>1.3192977007482014</v>
      </c>
      <c r="Q38" s="33">
        <f t="shared" si="14"/>
        <v>1.299521373748199</v>
      </c>
      <c r="R38" s="33">
        <f t="shared" si="14"/>
        <v>1.2995203737482015</v>
      </c>
      <c r="S38" s="33">
        <f t="shared" si="14"/>
        <v>1.2274031160266006</v>
      </c>
      <c r="T38" s="33">
        <f t="shared" si="14"/>
        <v>1.2068217031434969</v>
      </c>
      <c r="U38" s="33">
        <f t="shared" si="14"/>
        <v>1.2068207031434994</v>
      </c>
      <c r="V38" s="33">
        <f t="shared" si="14"/>
        <v>1.0554548642485031</v>
      </c>
      <c r="W38" s="33">
        <f t="shared" si="14"/>
        <v>0.99359018644970121</v>
      </c>
      <c r="X38" s="33">
        <f t="shared" si="14"/>
        <v>0.94395371827729946</v>
      </c>
      <c r="Y38" s="33">
        <f t="shared" si="14"/>
        <v>0.88577885556019709</v>
      </c>
      <c r="Z38" s="33">
        <f t="shared" si="14"/>
        <v>0.88577785556019961</v>
      </c>
      <c r="AA38" s="33">
        <f t="shared" si="14"/>
        <v>0.84673861147410179</v>
      </c>
      <c r="AB38" s="33">
        <f t="shared" si="14"/>
        <v>0.80791265864439765</v>
      </c>
      <c r="AC38" s="33">
        <f t="shared" si="14"/>
        <v>0.76895948644769874</v>
      </c>
      <c r="AD38" s="33">
        <f t="shared" si="14"/>
        <v>0.72971986162669822</v>
      </c>
      <c r="AE38" s="33">
        <f t="shared" si="14"/>
        <v>0.69040325936440183</v>
      </c>
      <c r="AF38" s="33">
        <f t="shared" si="14"/>
        <v>0.65199825751639651</v>
      </c>
      <c r="AG38" s="33">
        <f t="shared" si="14"/>
        <v>0.5648343447747024</v>
      </c>
      <c r="AH38" s="33">
        <f t="shared" si="14"/>
        <v>0.54558527765019704</v>
      </c>
      <c r="AI38" s="33">
        <f t="shared" si="14"/>
        <v>0.54558427765019957</v>
      </c>
      <c r="AJ38" s="47">
        <f t="shared" si="9"/>
        <v>0</v>
      </c>
      <c r="AK38" s="47">
        <f t="shared" ref="AK38:BJ38" si="15">AK7-$AJ$7</f>
        <v>0.20894611405060459</v>
      </c>
      <c r="AL38" s="47">
        <f t="shared" si="15"/>
        <v>0.28677515690060318</v>
      </c>
      <c r="AM38" s="47">
        <f t="shared" si="15"/>
        <v>0.4138569433069037</v>
      </c>
      <c r="AN38" s="47">
        <f t="shared" si="15"/>
        <v>0.41385794330690118</v>
      </c>
      <c r="AO38" s="47">
        <f t="shared" si="15"/>
        <v>0.47523162262650231</v>
      </c>
      <c r="AP38" s="47">
        <f t="shared" si="15"/>
        <v>0.48354733723500232</v>
      </c>
      <c r="AQ38" s="47">
        <f t="shared" si="15"/>
        <v>0.50322336657249878</v>
      </c>
      <c r="AR38" s="47">
        <f t="shared" si="15"/>
        <v>0.55418462190809947</v>
      </c>
      <c r="AS38" s="47">
        <f t="shared" si="15"/>
        <v>0.5891035148544006</v>
      </c>
      <c r="AT38" s="47">
        <f t="shared" si="15"/>
        <v>0.54996187195680335</v>
      </c>
      <c r="AU38" s="47">
        <f t="shared" si="15"/>
        <v>0.53983547892440242</v>
      </c>
      <c r="AV38" s="47">
        <f t="shared" si="15"/>
        <v>0.42392731856610055</v>
      </c>
      <c r="AW38" s="47">
        <f t="shared" si="15"/>
        <v>0.3919019611286032</v>
      </c>
      <c r="AX38" s="47">
        <f t="shared" si="15"/>
        <v>0.30338482968990377</v>
      </c>
      <c r="AY38" s="47">
        <f t="shared" si="15"/>
        <v>0.30338382968989919</v>
      </c>
      <c r="AZ38" s="47">
        <f t="shared" si="15"/>
        <v>0.30338282968990171</v>
      </c>
      <c r="BA38" s="47">
        <f t="shared" si="15"/>
        <v>0.30141387251000396</v>
      </c>
      <c r="BB38" s="47">
        <f t="shared" si="15"/>
        <v>0.11739396545380032</v>
      </c>
      <c r="BC38" s="47">
        <f t="shared" si="15"/>
        <v>-2.8666570417399839E-2</v>
      </c>
      <c r="BD38" s="47">
        <f t="shared" si="15"/>
        <v>-0.12740880495940132</v>
      </c>
      <c r="BE38" s="47">
        <f t="shared" si="15"/>
        <v>-0.21510102187029645</v>
      </c>
      <c r="BF38" s="47">
        <f t="shared" si="15"/>
        <v>-0.27279462710249902</v>
      </c>
      <c r="BG38" s="47">
        <f t="shared" si="15"/>
        <v>-0.42888831479810108</v>
      </c>
      <c r="BH38" s="47">
        <f t="shared" si="15"/>
        <v>-0.57256502555249966</v>
      </c>
      <c r="BI38" s="47">
        <f t="shared" si="15"/>
        <v>-0.70822895148759812</v>
      </c>
      <c r="BJ38" s="47">
        <f t="shared" si="15"/>
        <v>-0.7082299514875956</v>
      </c>
    </row>
    <row r="39" spans="1:62" x14ac:dyDescent="0.3">
      <c r="A39" s="28">
        <v>3</v>
      </c>
      <c r="B39" s="30">
        <v>37.21</v>
      </c>
      <c r="C39" s="24">
        <v>4</v>
      </c>
      <c r="D39" s="33">
        <f t="shared" si="11"/>
        <v>0</v>
      </c>
      <c r="E39" s="33">
        <f t="shared" ref="E39:AI39" si="16">E8-$B$8</f>
        <v>0.19416834015250117</v>
      </c>
      <c r="F39" s="33">
        <f t="shared" si="16"/>
        <v>0.46176317194370142</v>
      </c>
      <c r="G39" s="33">
        <f t="shared" si="16"/>
        <v>0.62573020608190433</v>
      </c>
      <c r="H39" s="33">
        <f t="shared" si="16"/>
        <v>0.95468538253370383</v>
      </c>
      <c r="I39" s="33">
        <f t="shared" si="16"/>
        <v>1.104061666740705</v>
      </c>
      <c r="J39" s="33">
        <f t="shared" si="16"/>
        <v>1.2773397841825016</v>
      </c>
      <c r="K39" s="33">
        <f t="shared" si="16"/>
        <v>1.4093949254230012</v>
      </c>
      <c r="L39" s="33">
        <f t="shared" si="16"/>
        <v>1.6193023411989032</v>
      </c>
      <c r="M39" s="33">
        <f t="shared" si="16"/>
        <v>1.6335483199073053</v>
      </c>
      <c r="N39" s="33">
        <f t="shared" si="16"/>
        <v>1.657622406493104</v>
      </c>
      <c r="O39" s="33">
        <f t="shared" si="16"/>
        <v>1.6576234064931015</v>
      </c>
      <c r="P39" s="33">
        <f t="shared" si="16"/>
        <v>1.382934468095506</v>
      </c>
      <c r="Q39" s="33">
        <f t="shared" si="16"/>
        <v>1.3555281894158</v>
      </c>
      <c r="R39" s="33">
        <f t="shared" si="16"/>
        <v>1.3555271894158025</v>
      </c>
      <c r="S39" s="33">
        <f t="shared" si="16"/>
        <v>1.2671817985316025</v>
      </c>
      <c r="T39" s="33">
        <f t="shared" si="16"/>
        <v>1.2402525060361</v>
      </c>
      <c r="U39" s="33">
        <f t="shared" si="16"/>
        <v>1.2374025038766021</v>
      </c>
      <c r="V39" s="33">
        <f t="shared" si="16"/>
        <v>1.0942944368221035</v>
      </c>
      <c r="W39" s="33">
        <f t="shared" si="16"/>
        <v>1.0330815849817014</v>
      </c>
      <c r="X39" s="33">
        <f t="shared" si="16"/>
        <v>0.9829478366008999</v>
      </c>
      <c r="Y39" s="33">
        <f t="shared" si="16"/>
        <v>0.92003326092700632</v>
      </c>
      <c r="Z39" s="33">
        <f t="shared" si="16"/>
        <v>0.92003226092700174</v>
      </c>
      <c r="AA39" s="33">
        <f t="shared" si="16"/>
        <v>0.88097048171400161</v>
      </c>
      <c r="AB39" s="33">
        <f t="shared" si="16"/>
        <v>0.84160213100140169</v>
      </c>
      <c r="AC39" s="33">
        <f t="shared" si="16"/>
        <v>0.80236032343740504</v>
      </c>
      <c r="AD39" s="33">
        <f t="shared" si="16"/>
        <v>0.76303836702840044</v>
      </c>
      <c r="AE39" s="33">
        <f t="shared" si="16"/>
        <v>0.72381167613510655</v>
      </c>
      <c r="AF39" s="33">
        <f t="shared" si="16"/>
        <v>0.68322085667030308</v>
      </c>
      <c r="AG39" s="33">
        <f t="shared" si="16"/>
        <v>0.58801452361030471</v>
      </c>
      <c r="AH39" s="33">
        <f t="shared" si="16"/>
        <v>0.56650995483850153</v>
      </c>
      <c r="AI39" s="33">
        <f t="shared" si="16"/>
        <v>0.56650895483850405</v>
      </c>
      <c r="AJ39" s="47">
        <f t="shared" si="9"/>
        <v>0</v>
      </c>
      <c r="AK39" s="47">
        <f t="shared" ref="AK39:BJ39" si="17">AK8-$AJ$8</f>
        <v>0.28181651194130097</v>
      </c>
      <c r="AL39" s="47">
        <f t="shared" si="17"/>
        <v>0.35286740227279978</v>
      </c>
      <c r="AM39" s="47">
        <f t="shared" si="17"/>
        <v>0.47457126255649484</v>
      </c>
      <c r="AN39" s="47">
        <f t="shared" si="17"/>
        <v>0.47457226255649942</v>
      </c>
      <c r="AO39" s="47">
        <f t="shared" si="17"/>
        <v>0.50247152897379976</v>
      </c>
      <c r="AP39" s="47">
        <f t="shared" si="17"/>
        <v>0.50247252897379724</v>
      </c>
      <c r="AQ39" s="47">
        <f t="shared" si="17"/>
        <v>0.50247352897379471</v>
      </c>
      <c r="AR39" s="47">
        <f t="shared" si="17"/>
        <v>0.52458264084440032</v>
      </c>
      <c r="AS39" s="47">
        <f t="shared" si="17"/>
        <v>0.55223413360119622</v>
      </c>
      <c r="AT39" s="47">
        <f t="shared" si="17"/>
        <v>0.5186661037326985</v>
      </c>
      <c r="AU39" s="47">
        <f t="shared" si="17"/>
        <v>0.51866510373270103</v>
      </c>
      <c r="AV39" s="47">
        <f t="shared" si="17"/>
        <v>0.42925942553049623</v>
      </c>
      <c r="AW39" s="47">
        <f t="shared" si="17"/>
        <v>0.42008039454680102</v>
      </c>
      <c r="AX39" s="47">
        <f t="shared" si="17"/>
        <v>0.35354911490449581</v>
      </c>
      <c r="AY39" s="47">
        <f t="shared" si="17"/>
        <v>0.35354811490449833</v>
      </c>
      <c r="AZ39" s="47">
        <f t="shared" si="17"/>
        <v>0.35354711490450086</v>
      </c>
      <c r="BA39" s="47">
        <f t="shared" si="17"/>
        <v>0.35354611490449628</v>
      </c>
      <c r="BB39" s="47">
        <f t="shared" si="17"/>
        <v>0.20765719680579764</v>
      </c>
      <c r="BC39" s="47">
        <f t="shared" si="17"/>
        <v>5.1500184706995356E-2</v>
      </c>
      <c r="BD39" s="47">
        <f t="shared" si="17"/>
        <v>-4.8918345256602436E-2</v>
      </c>
      <c r="BE39" s="47">
        <f t="shared" si="17"/>
        <v>-0.14245749951550124</v>
      </c>
      <c r="BF39" s="47">
        <f t="shared" si="17"/>
        <v>-0.19093400501050439</v>
      </c>
      <c r="BG39" s="47">
        <f t="shared" si="17"/>
        <v>-0.36521822449660135</v>
      </c>
      <c r="BH39" s="47">
        <f t="shared" si="17"/>
        <v>-0.5077151515340006</v>
      </c>
      <c r="BI39" s="47">
        <f t="shared" si="17"/>
        <v>-0.64544886439330185</v>
      </c>
      <c r="BJ39" s="47">
        <f t="shared" si="17"/>
        <v>-0.64544986439329932</v>
      </c>
    </row>
    <row r="40" spans="1:62" x14ac:dyDescent="0.3">
      <c r="A40" s="28">
        <v>4</v>
      </c>
      <c r="B40" s="30">
        <v>37.19</v>
      </c>
      <c r="C40" s="24">
        <v>5</v>
      </c>
      <c r="D40" s="33">
        <f t="shared" si="11"/>
        <v>0</v>
      </c>
      <c r="E40" s="33">
        <f t="shared" ref="E40:AI40" si="18">E9-$B$9</f>
        <v>0.2881074582326022</v>
      </c>
      <c r="F40" s="33">
        <f t="shared" si="18"/>
        <v>0.59877053334800223</v>
      </c>
      <c r="G40" s="33">
        <f t="shared" si="18"/>
        <v>0.7481501574795999</v>
      </c>
      <c r="H40" s="33">
        <f t="shared" si="18"/>
        <v>1.0649404530430004</v>
      </c>
      <c r="I40" s="33">
        <f t="shared" si="18"/>
        <v>1.1980253003973971</v>
      </c>
      <c r="J40" s="33">
        <f t="shared" si="18"/>
        <v>1.3510954757425964</v>
      </c>
      <c r="K40" s="33">
        <f t="shared" si="18"/>
        <v>1.469105717557099</v>
      </c>
      <c r="L40" s="33">
        <f t="shared" si="18"/>
        <v>1.6305441479194016</v>
      </c>
      <c r="M40" s="33">
        <f t="shared" si="18"/>
        <v>1.6322475263311986</v>
      </c>
      <c r="N40" s="33">
        <f t="shared" si="18"/>
        <v>1.6539579285906996</v>
      </c>
      <c r="O40" s="33">
        <f t="shared" si="18"/>
        <v>1.653958928590697</v>
      </c>
      <c r="P40" s="33">
        <f t="shared" si="18"/>
        <v>1.3787912518919967</v>
      </c>
      <c r="Q40" s="33">
        <f t="shared" si="18"/>
        <v>1.3717515327710004</v>
      </c>
      <c r="R40" s="33">
        <f t="shared" si="18"/>
        <v>1.3717505327709958</v>
      </c>
      <c r="S40" s="33">
        <f t="shared" si="18"/>
        <v>1.3262943969022984</v>
      </c>
      <c r="T40" s="33">
        <f t="shared" si="18"/>
        <v>1.3178450343171022</v>
      </c>
      <c r="U40" s="33">
        <f t="shared" si="18"/>
        <v>1.3178440343170976</v>
      </c>
      <c r="V40" s="33">
        <f t="shared" si="18"/>
        <v>1.1883000500118968</v>
      </c>
      <c r="W40" s="33">
        <f t="shared" si="18"/>
        <v>1.1300655486589974</v>
      </c>
      <c r="X40" s="33">
        <f t="shared" si="18"/>
        <v>1.0836324960722976</v>
      </c>
      <c r="Y40" s="33">
        <f t="shared" si="18"/>
        <v>1.0262157690703972</v>
      </c>
      <c r="Z40" s="33">
        <f t="shared" si="18"/>
        <v>1.0262147690703998</v>
      </c>
      <c r="AA40" s="33">
        <f t="shared" si="18"/>
        <v>0.98833814695930045</v>
      </c>
      <c r="AB40" s="33">
        <f t="shared" si="18"/>
        <v>0.94648915933549915</v>
      </c>
      <c r="AC40" s="33">
        <f t="shared" si="18"/>
        <v>0.9076049999443967</v>
      </c>
      <c r="AD40" s="33">
        <f t="shared" si="18"/>
        <v>0.86913752577270031</v>
      </c>
      <c r="AE40" s="33">
        <f t="shared" si="18"/>
        <v>0.82535683500439916</v>
      </c>
      <c r="AF40" s="33">
        <f t="shared" si="18"/>
        <v>0.78670907670279888</v>
      </c>
      <c r="AG40" s="33">
        <f t="shared" si="18"/>
        <v>0.69893205846469897</v>
      </c>
      <c r="AH40" s="33">
        <f t="shared" si="18"/>
        <v>0.67832285273910031</v>
      </c>
      <c r="AI40" s="33">
        <f t="shared" si="18"/>
        <v>0.67832185273909573</v>
      </c>
      <c r="AJ40" s="47">
        <f t="shared" si="9"/>
        <v>0</v>
      </c>
      <c r="AK40" s="47">
        <f t="shared" ref="AK40:BJ40" si="19">AK9-$AJ$9</f>
        <v>0.24332180735880371</v>
      </c>
      <c r="AL40" s="47">
        <f t="shared" si="19"/>
        <v>0.32875847885269849</v>
      </c>
      <c r="AM40" s="47">
        <f t="shared" si="19"/>
        <v>0.44784000403630131</v>
      </c>
      <c r="AN40" s="47">
        <f t="shared" si="19"/>
        <v>0.44784100403629878</v>
      </c>
      <c r="AO40" s="47">
        <f t="shared" si="19"/>
        <v>0.50658333777919751</v>
      </c>
      <c r="AP40" s="47">
        <f t="shared" si="19"/>
        <v>0.50658433777920209</v>
      </c>
      <c r="AQ40" s="47">
        <f t="shared" si="19"/>
        <v>0.51519360075040055</v>
      </c>
      <c r="AR40" s="47">
        <f t="shared" si="19"/>
        <v>0.56199639934079926</v>
      </c>
      <c r="AS40" s="47">
        <f t="shared" si="19"/>
        <v>0.59041413516929708</v>
      </c>
      <c r="AT40" s="47">
        <f t="shared" si="19"/>
        <v>0.5526941153256999</v>
      </c>
      <c r="AU40" s="47">
        <f t="shared" si="19"/>
        <v>0.54993259299389763</v>
      </c>
      <c r="AV40" s="47">
        <f t="shared" si="19"/>
        <v>0.43758766915389913</v>
      </c>
      <c r="AW40" s="47">
        <f t="shared" si="19"/>
        <v>0.41865771352900083</v>
      </c>
      <c r="AX40" s="47">
        <f t="shared" si="19"/>
        <v>0.32231098735940122</v>
      </c>
      <c r="AY40" s="47">
        <f t="shared" si="19"/>
        <v>0.32230998735940375</v>
      </c>
      <c r="AZ40" s="47">
        <f t="shared" si="19"/>
        <v>0.32230898735939917</v>
      </c>
      <c r="BA40" s="47">
        <f t="shared" si="19"/>
        <v>0.32230798735940169</v>
      </c>
      <c r="BB40" s="47">
        <f t="shared" si="19"/>
        <v>0.13996108461520151</v>
      </c>
      <c r="BC40" s="47">
        <f t="shared" si="19"/>
        <v>-4.6236105497001745E-3</v>
      </c>
      <c r="BD40" s="47">
        <f t="shared" si="19"/>
        <v>-0.10003174426120154</v>
      </c>
      <c r="BE40" s="47">
        <f t="shared" si="19"/>
        <v>-0.19065834427279782</v>
      </c>
      <c r="BF40" s="47">
        <f t="shared" si="19"/>
        <v>-0.23879241536410234</v>
      </c>
      <c r="BG40" s="47">
        <f t="shared" si="19"/>
        <v>-0.38058452548519739</v>
      </c>
      <c r="BH40" s="47">
        <f t="shared" si="19"/>
        <v>-0.51726173769610284</v>
      </c>
      <c r="BI40" s="47">
        <f t="shared" si="19"/>
        <v>-0.65244704801109776</v>
      </c>
      <c r="BJ40" s="47">
        <f t="shared" si="19"/>
        <v>-0.65244804801110234</v>
      </c>
    </row>
    <row r="41" spans="1:62" x14ac:dyDescent="0.3">
      <c r="A41" s="28">
        <v>5</v>
      </c>
      <c r="B41" s="30">
        <v>37.409999999999997</v>
      </c>
      <c r="C41" s="24">
        <v>6</v>
      </c>
      <c r="D41" s="33">
        <f t="shared" si="11"/>
        <v>0</v>
      </c>
      <c r="E41" s="33">
        <f t="shared" ref="E41:AI41" si="20">E10-$B$10</f>
        <v>0.21220429505189742</v>
      </c>
      <c r="F41" s="33">
        <f t="shared" si="20"/>
        <v>0.48823744350249854</v>
      </c>
      <c r="G41" s="33">
        <f t="shared" si="20"/>
        <v>0.64945496931329671</v>
      </c>
      <c r="H41" s="33">
        <f t="shared" si="20"/>
        <v>0.96431683803950108</v>
      </c>
      <c r="I41" s="33">
        <f t="shared" si="20"/>
        <v>1.0985838443495979</v>
      </c>
      <c r="J41" s="33">
        <f t="shared" si="20"/>
        <v>1.2604463772745973</v>
      </c>
      <c r="K41" s="33">
        <f t="shared" si="20"/>
        <v>1.3846988931840016</v>
      </c>
      <c r="L41" s="33">
        <f t="shared" si="20"/>
        <v>1.5547110698202999</v>
      </c>
      <c r="M41" s="33">
        <f t="shared" si="20"/>
        <v>1.5631326797773966</v>
      </c>
      <c r="N41" s="33">
        <f t="shared" si="20"/>
        <v>1.5855201906565028</v>
      </c>
      <c r="O41" s="33">
        <f t="shared" si="20"/>
        <v>1.4991985109428967</v>
      </c>
      <c r="P41" s="33">
        <f t="shared" si="20"/>
        <v>1.3163810025708997</v>
      </c>
      <c r="Q41" s="33">
        <f t="shared" si="20"/>
        <v>1.2982931232673991</v>
      </c>
      <c r="R41" s="33">
        <f t="shared" si="20"/>
        <v>1.2982921232674016</v>
      </c>
      <c r="S41" s="33">
        <f t="shared" si="20"/>
        <v>1.2255141428032985</v>
      </c>
      <c r="T41" s="33">
        <f t="shared" si="20"/>
        <v>1.206878759880901</v>
      </c>
      <c r="U41" s="33">
        <f t="shared" si="20"/>
        <v>1.2068777598808964</v>
      </c>
      <c r="V41" s="33">
        <f t="shared" si="20"/>
        <v>1.0694440865880992</v>
      </c>
      <c r="W41" s="33">
        <f t="shared" si="20"/>
        <v>1.0121109729692961</v>
      </c>
      <c r="X41" s="33">
        <f t="shared" si="20"/>
        <v>0.96374370930659836</v>
      </c>
      <c r="Y41" s="33">
        <f t="shared" si="20"/>
        <v>0.90609499310740205</v>
      </c>
      <c r="Z41" s="33">
        <f t="shared" si="20"/>
        <v>0.90609399310739747</v>
      </c>
      <c r="AA41" s="33">
        <f t="shared" si="20"/>
        <v>0.86837996182870114</v>
      </c>
      <c r="AB41" s="33">
        <f t="shared" si="20"/>
        <v>0.82717175000639998</v>
      </c>
      <c r="AC41" s="33">
        <f t="shared" si="20"/>
        <v>0.7879076770959017</v>
      </c>
      <c r="AD41" s="33">
        <f t="shared" si="20"/>
        <v>0.74926449698440223</v>
      </c>
      <c r="AE41" s="33">
        <f t="shared" si="20"/>
        <v>0.71032511781680086</v>
      </c>
      <c r="AF41" s="33">
        <f t="shared" si="20"/>
        <v>0.66974955840279904</v>
      </c>
      <c r="AG41" s="33">
        <f t="shared" si="20"/>
        <v>0.5833031301004965</v>
      </c>
      <c r="AH41" s="33">
        <f t="shared" si="20"/>
        <v>0.5640750447659002</v>
      </c>
      <c r="AI41" s="33">
        <f t="shared" si="20"/>
        <v>0.56407404476590273</v>
      </c>
      <c r="AJ41" s="47">
        <f t="shared" si="9"/>
        <v>0</v>
      </c>
      <c r="AK41" s="47">
        <f t="shared" ref="AK41:BJ41" si="21">AK10-$AJ$10</f>
        <v>0.16344326567669754</v>
      </c>
      <c r="AL41" s="47">
        <f t="shared" si="21"/>
        <v>0.24877381117899944</v>
      </c>
      <c r="AM41" s="47">
        <f t="shared" si="21"/>
        <v>0.38875775131140244</v>
      </c>
      <c r="AN41" s="47">
        <f t="shared" si="21"/>
        <v>0.38875875131139992</v>
      </c>
      <c r="AO41" s="47">
        <f t="shared" si="21"/>
        <v>0.48758889453129939</v>
      </c>
      <c r="AP41" s="47">
        <f t="shared" si="21"/>
        <v>0.51582533358710236</v>
      </c>
      <c r="AQ41" s="47">
        <f t="shared" si="21"/>
        <v>0.55425575857349685</v>
      </c>
      <c r="AR41" s="47">
        <f t="shared" si="21"/>
        <v>0.62077468718339901</v>
      </c>
      <c r="AS41" s="47">
        <f t="shared" si="21"/>
        <v>0.65665780918539696</v>
      </c>
      <c r="AT41" s="47">
        <f t="shared" si="21"/>
        <v>0.61324700342009919</v>
      </c>
      <c r="AU41" s="47">
        <f t="shared" si="21"/>
        <v>0.58786855183849696</v>
      </c>
      <c r="AV41" s="47">
        <f t="shared" si="21"/>
        <v>0.45362816535340045</v>
      </c>
      <c r="AW41" s="47">
        <f t="shared" si="21"/>
        <v>0.40163491113040095</v>
      </c>
      <c r="AX41" s="47">
        <f t="shared" si="21"/>
        <v>0.28869220374180316</v>
      </c>
      <c r="AY41" s="47">
        <f t="shared" si="21"/>
        <v>0.28869120374179857</v>
      </c>
      <c r="AZ41" s="47">
        <f t="shared" si="21"/>
        <v>0.2886902037418011</v>
      </c>
      <c r="BA41" s="47">
        <f t="shared" si="21"/>
        <v>0.25344527146800289</v>
      </c>
      <c r="BB41" s="47">
        <f t="shared" si="21"/>
        <v>6.2514899983803218E-2</v>
      </c>
      <c r="BC41" s="47">
        <f t="shared" si="21"/>
        <v>-8.4253629413602482E-2</v>
      </c>
      <c r="BD41" s="47">
        <f t="shared" si="21"/>
        <v>-0.18860616347470227</v>
      </c>
      <c r="BE41" s="47">
        <f t="shared" si="21"/>
        <v>-0.27873387614000222</v>
      </c>
      <c r="BF41" s="47">
        <f t="shared" si="21"/>
        <v>-0.32746345898070217</v>
      </c>
      <c r="BG41" s="47">
        <f t="shared" si="21"/>
        <v>-0.47731057913350128</v>
      </c>
      <c r="BH41" s="47">
        <f t="shared" si="21"/>
        <v>-0.61859384946900065</v>
      </c>
      <c r="BI41" s="47">
        <f t="shared" si="21"/>
        <v>-0.75650257406400101</v>
      </c>
      <c r="BJ41" s="47">
        <f t="shared" si="21"/>
        <v>-0.75650357406399849</v>
      </c>
    </row>
    <row r="42" spans="1:62" x14ac:dyDescent="0.3">
      <c r="A42" s="28">
        <v>6</v>
      </c>
      <c r="B42" s="30">
        <v>37.04</v>
      </c>
      <c r="C42" s="24">
        <v>7</v>
      </c>
      <c r="D42" s="33">
        <f t="shared" si="11"/>
        <v>0</v>
      </c>
      <c r="E42" s="33">
        <f t="shared" ref="E42:AI42" si="22">E11-$B$11</f>
        <v>0.21904738260930401</v>
      </c>
      <c r="F42" s="33">
        <f t="shared" si="22"/>
        <v>0.48881667675689755</v>
      </c>
      <c r="G42" s="33">
        <f t="shared" si="22"/>
        <v>0.64188835700299762</v>
      </c>
      <c r="H42" s="33">
        <f t="shared" si="22"/>
        <v>0.94019690759009933</v>
      </c>
      <c r="I42" s="33">
        <f t="shared" si="22"/>
        <v>1.0730287502200042</v>
      </c>
      <c r="J42" s="33">
        <f t="shared" si="22"/>
        <v>1.2388885450648033</v>
      </c>
      <c r="K42" s="33">
        <f t="shared" si="22"/>
        <v>1.3630761280635042</v>
      </c>
      <c r="L42" s="33">
        <f t="shared" si="22"/>
        <v>1.5329242583596994</v>
      </c>
      <c r="M42" s="33">
        <f t="shared" si="22"/>
        <v>1.5414370558880037</v>
      </c>
      <c r="N42" s="33">
        <f t="shared" si="22"/>
        <v>1.561930927343802</v>
      </c>
      <c r="O42" s="33">
        <f t="shared" si="22"/>
        <v>1.4860978068139019</v>
      </c>
      <c r="P42" s="33">
        <f t="shared" si="22"/>
        <v>1.3076420829992017</v>
      </c>
      <c r="Q42" s="33">
        <f t="shared" si="22"/>
        <v>1.2903174686472028</v>
      </c>
      <c r="R42" s="33">
        <f t="shared" si="22"/>
        <v>1.2903164686471982</v>
      </c>
      <c r="S42" s="33">
        <f t="shared" si="22"/>
        <v>1.2170845795807992</v>
      </c>
      <c r="T42" s="33">
        <f t="shared" si="22"/>
        <v>1.1983024625328014</v>
      </c>
      <c r="U42" s="33">
        <f t="shared" si="22"/>
        <v>1.1983014625328039</v>
      </c>
      <c r="V42" s="33">
        <f t="shared" si="22"/>
        <v>1.0639868990667978</v>
      </c>
      <c r="W42" s="33">
        <f t="shared" si="22"/>
        <v>1.0055689844124984</v>
      </c>
      <c r="X42" s="33">
        <f t="shared" si="22"/>
        <v>0.95410737807019785</v>
      </c>
      <c r="Y42" s="33">
        <f t="shared" si="22"/>
        <v>0.89545685875479819</v>
      </c>
      <c r="Z42" s="33">
        <f t="shared" si="22"/>
        <v>0.89545585875480072</v>
      </c>
      <c r="AA42" s="33">
        <f t="shared" si="22"/>
        <v>0.85526345532210257</v>
      </c>
      <c r="AB42" s="33">
        <f t="shared" si="22"/>
        <v>0.81687483317190157</v>
      </c>
      <c r="AC42" s="33">
        <f t="shared" si="22"/>
        <v>0.77675309935660408</v>
      </c>
      <c r="AD42" s="33">
        <f t="shared" si="22"/>
        <v>0.73822060291280422</v>
      </c>
      <c r="AE42" s="33">
        <f t="shared" si="22"/>
        <v>0.69766422314189924</v>
      </c>
      <c r="AF42" s="33">
        <f t="shared" si="22"/>
        <v>0.65616315556270166</v>
      </c>
      <c r="AG42" s="33">
        <f t="shared" si="22"/>
        <v>0.5683932628419015</v>
      </c>
      <c r="AH42" s="33">
        <f t="shared" si="22"/>
        <v>0.54882960088570343</v>
      </c>
      <c r="AI42" s="33">
        <f t="shared" si="22"/>
        <v>0.54882860088569885</v>
      </c>
      <c r="AJ42" s="47">
        <f t="shared" si="9"/>
        <v>0</v>
      </c>
      <c r="AK42" s="47">
        <f t="shared" ref="AK42:BJ42" si="23">AK11-$AJ$11</f>
        <v>0.30622072988060012</v>
      </c>
      <c r="AL42" s="47">
        <f t="shared" si="23"/>
        <v>0.37125723849619874</v>
      </c>
      <c r="AM42" s="47">
        <f t="shared" si="23"/>
        <v>0.48323361499240036</v>
      </c>
      <c r="AN42" s="47">
        <f t="shared" si="23"/>
        <v>0.48323461499239784</v>
      </c>
      <c r="AO42" s="47">
        <f t="shared" si="23"/>
        <v>0.48323561499239531</v>
      </c>
      <c r="AP42" s="47">
        <f t="shared" si="23"/>
        <v>0.48323661499239989</v>
      </c>
      <c r="AQ42" s="47">
        <f t="shared" si="23"/>
        <v>0.48323761499239737</v>
      </c>
      <c r="AR42" s="47">
        <f t="shared" si="23"/>
        <v>0.48323861499239484</v>
      </c>
      <c r="AS42" s="47">
        <f t="shared" si="23"/>
        <v>0.48382243204869724</v>
      </c>
      <c r="AT42" s="47">
        <f t="shared" si="23"/>
        <v>0.45356040065509973</v>
      </c>
      <c r="AU42" s="47">
        <f t="shared" si="23"/>
        <v>0.45355940065509515</v>
      </c>
      <c r="AV42" s="47">
        <f t="shared" si="23"/>
        <v>0.38488230831480053</v>
      </c>
      <c r="AW42" s="47">
        <f t="shared" si="23"/>
        <v>0.38488130831479594</v>
      </c>
      <c r="AX42" s="47">
        <f t="shared" si="23"/>
        <v>0.33392103057829559</v>
      </c>
      <c r="AY42" s="47">
        <f t="shared" si="23"/>
        <v>0.33392003057829811</v>
      </c>
      <c r="AZ42" s="47">
        <f t="shared" si="23"/>
        <v>0.33391903057830064</v>
      </c>
      <c r="BA42" s="47">
        <f t="shared" si="23"/>
        <v>0.33391803057829605</v>
      </c>
      <c r="BB42" s="47">
        <f t="shared" si="23"/>
        <v>0.21140260694869539</v>
      </c>
      <c r="BC42" s="47">
        <f t="shared" si="23"/>
        <v>6.5092443424894952E-2</v>
      </c>
      <c r="BD42" s="47">
        <f t="shared" si="23"/>
        <v>-3.72287359199035E-2</v>
      </c>
      <c r="BE42" s="47">
        <f t="shared" si="23"/>
        <v>-0.12551888154840185</v>
      </c>
      <c r="BF42" s="47">
        <f t="shared" si="23"/>
        <v>-0.17454792153740328</v>
      </c>
      <c r="BG42" s="47">
        <f t="shared" si="23"/>
        <v>-0.32251522913670527</v>
      </c>
      <c r="BH42" s="47">
        <f t="shared" si="23"/>
        <v>-0.47255984414000096</v>
      </c>
      <c r="BI42" s="47">
        <f t="shared" si="23"/>
        <v>-0.6096648775235991</v>
      </c>
      <c r="BJ42" s="47">
        <f t="shared" si="23"/>
        <v>-0.60966587752360368</v>
      </c>
    </row>
    <row r="43" spans="1:62" x14ac:dyDescent="0.3">
      <c r="A43" s="28">
        <v>7</v>
      </c>
      <c r="B43" s="30">
        <v>36.85</v>
      </c>
      <c r="C43" s="24">
        <v>8</v>
      </c>
      <c r="D43" s="33">
        <f t="shared" si="11"/>
        <v>0</v>
      </c>
      <c r="E43" s="33">
        <f t="shared" ref="E43:AI43" si="24">E12-$B$12</f>
        <v>0.37791653996399788</v>
      </c>
      <c r="F43" s="33">
        <f t="shared" si="24"/>
        <v>0.63071516826690299</v>
      </c>
      <c r="G43" s="33">
        <f t="shared" si="24"/>
        <v>0.77493856581499898</v>
      </c>
      <c r="H43" s="33">
        <f t="shared" si="24"/>
        <v>1.0582512975841993</v>
      </c>
      <c r="I43" s="33">
        <f t="shared" si="24"/>
        <v>1.1643198770658998</v>
      </c>
      <c r="J43" s="33">
        <f t="shared" si="24"/>
        <v>1.3121086812903968</v>
      </c>
      <c r="K43" s="33">
        <f t="shared" si="24"/>
        <v>1.4101660611561968</v>
      </c>
      <c r="L43" s="33">
        <f t="shared" si="24"/>
        <v>1.5846002935852965</v>
      </c>
      <c r="M43" s="33">
        <f t="shared" si="24"/>
        <v>1.5846012935853011</v>
      </c>
      <c r="N43" s="33">
        <f t="shared" si="24"/>
        <v>1.5863458702627966</v>
      </c>
      <c r="O43" s="33">
        <f t="shared" si="24"/>
        <v>1.5863468702628012</v>
      </c>
      <c r="P43" s="33">
        <f t="shared" si="24"/>
        <v>1.3641425960784019</v>
      </c>
      <c r="Q43" s="33">
        <f t="shared" si="24"/>
        <v>1.3641415960783974</v>
      </c>
      <c r="R43" s="33">
        <f t="shared" si="24"/>
        <v>1.3641405960783999</v>
      </c>
      <c r="S43" s="33">
        <f t="shared" si="24"/>
        <v>1.3641395960784024</v>
      </c>
      <c r="T43" s="33">
        <f t="shared" si="24"/>
        <v>1.3641385960783978</v>
      </c>
      <c r="U43" s="33">
        <f t="shared" si="24"/>
        <v>1.3641375960784003</v>
      </c>
      <c r="V43" s="33">
        <f t="shared" si="24"/>
        <v>1.2698530273383994</v>
      </c>
      <c r="W43" s="33">
        <f t="shared" si="24"/>
        <v>1.2220696031377969</v>
      </c>
      <c r="X43" s="33">
        <f t="shared" si="24"/>
        <v>1.1774061962917983</v>
      </c>
      <c r="Y43" s="33">
        <f t="shared" si="24"/>
        <v>1.1207794998709986</v>
      </c>
      <c r="Z43" s="33">
        <f t="shared" si="24"/>
        <v>1.1207784998710011</v>
      </c>
      <c r="AA43" s="33">
        <f t="shared" si="24"/>
        <v>1.084428184751502</v>
      </c>
      <c r="AB43" s="33">
        <f t="shared" si="24"/>
        <v>1.041674150226001</v>
      </c>
      <c r="AC43" s="33">
        <f t="shared" si="24"/>
        <v>1.0021750108753977</v>
      </c>
      <c r="AD43" s="33">
        <f t="shared" si="24"/>
        <v>0.96362230895100254</v>
      </c>
      <c r="AE43" s="33">
        <f t="shared" si="24"/>
        <v>0.92487746956109618</v>
      </c>
      <c r="AF43" s="33">
        <f t="shared" si="24"/>
        <v>0.88563723966380081</v>
      </c>
      <c r="AG43" s="33">
        <f t="shared" si="24"/>
        <v>0.79923476060309895</v>
      </c>
      <c r="AH43" s="33">
        <f t="shared" si="24"/>
        <v>0.77925679647400159</v>
      </c>
      <c r="AI43" s="33">
        <f t="shared" si="24"/>
        <v>0.77925579647399701</v>
      </c>
      <c r="AJ43" s="47">
        <f t="shared" si="9"/>
        <v>0</v>
      </c>
      <c r="AK43" s="47">
        <f t="shared" ref="AK43:BJ43" si="25">AK12-$AJ$12</f>
        <v>0.23807454802160066</v>
      </c>
      <c r="AL43" s="47">
        <f t="shared" si="25"/>
        <v>0.31169901855529503</v>
      </c>
      <c r="AM43" s="47">
        <f t="shared" si="25"/>
        <v>0.44950463324369849</v>
      </c>
      <c r="AN43" s="47">
        <f t="shared" si="25"/>
        <v>0.44950563324369597</v>
      </c>
      <c r="AO43" s="47">
        <f t="shared" si="25"/>
        <v>0.49429738832019865</v>
      </c>
      <c r="AP43" s="47">
        <f t="shared" si="25"/>
        <v>0.49489737623219554</v>
      </c>
      <c r="AQ43" s="47">
        <f t="shared" si="25"/>
        <v>0.50641166031289941</v>
      </c>
      <c r="AR43" s="47">
        <f t="shared" si="25"/>
        <v>0.55142864127459745</v>
      </c>
      <c r="AS43" s="47">
        <f t="shared" si="25"/>
        <v>0.58131864501369535</v>
      </c>
      <c r="AT43" s="47">
        <f t="shared" si="25"/>
        <v>0.54443342145570028</v>
      </c>
      <c r="AU43" s="47">
        <f t="shared" si="25"/>
        <v>0.54024702279649972</v>
      </c>
      <c r="AV43" s="47">
        <f t="shared" si="25"/>
        <v>0.39521966245519735</v>
      </c>
      <c r="AW43" s="47">
        <f t="shared" si="25"/>
        <v>0.37580391716269901</v>
      </c>
      <c r="AX43" s="47">
        <f t="shared" si="25"/>
        <v>0.29852899361399921</v>
      </c>
      <c r="AY43" s="47">
        <f t="shared" si="25"/>
        <v>0.29852799361399462</v>
      </c>
      <c r="AZ43" s="47">
        <f t="shared" si="25"/>
        <v>0.29852699361399715</v>
      </c>
      <c r="BA43" s="47">
        <f t="shared" si="25"/>
        <v>0.29852599361399967</v>
      </c>
      <c r="BB43" s="47">
        <f t="shared" si="25"/>
        <v>0.14331238719339723</v>
      </c>
      <c r="BC43" s="47">
        <f t="shared" si="25"/>
        <v>-4.7608841803992163E-3</v>
      </c>
      <c r="BD43" s="47">
        <f t="shared" si="25"/>
        <v>-0.10012970689729883</v>
      </c>
      <c r="BE43" s="47">
        <f t="shared" si="25"/>
        <v>-0.19735396782790104</v>
      </c>
      <c r="BF43" s="47">
        <f t="shared" si="25"/>
        <v>-0.24860153411550101</v>
      </c>
      <c r="BG43" s="47">
        <f t="shared" si="25"/>
        <v>-0.39059299524539881</v>
      </c>
      <c r="BH43" s="47">
        <f t="shared" si="25"/>
        <v>-0.53259541695380364</v>
      </c>
      <c r="BI43" s="47">
        <f t="shared" si="25"/>
        <v>-0.66857415518619945</v>
      </c>
      <c r="BJ43" s="47">
        <f t="shared" si="25"/>
        <v>-0.66857515518620403</v>
      </c>
    </row>
    <row r="44" spans="1:62" x14ac:dyDescent="0.3">
      <c r="A44" s="28">
        <v>8</v>
      </c>
      <c r="B44" s="30">
        <v>36.67</v>
      </c>
      <c r="C44" s="24">
        <v>9</v>
      </c>
      <c r="D44" s="33">
        <f t="shared" si="11"/>
        <v>0</v>
      </c>
      <c r="E44" s="33">
        <f t="shared" ref="E44:AI44" si="26">E13-$B$13</f>
        <v>0.12024918577930066</v>
      </c>
      <c r="F44" s="33">
        <f t="shared" si="26"/>
        <v>0.38619775693140213</v>
      </c>
      <c r="G44" s="33">
        <f t="shared" si="26"/>
        <v>0.54564183951620038</v>
      </c>
      <c r="H44" s="33">
        <f t="shared" si="26"/>
        <v>0.85230961664070293</v>
      </c>
      <c r="I44" s="33">
        <f t="shared" si="26"/>
        <v>1.0022120700232051</v>
      </c>
      <c r="J44" s="33">
        <f t="shared" si="26"/>
        <v>1.1803499609119044</v>
      </c>
      <c r="K44" s="33">
        <f t="shared" si="26"/>
        <v>1.3210220487159035</v>
      </c>
      <c r="L44" s="33">
        <f t="shared" si="26"/>
        <v>1.5219510451873006</v>
      </c>
      <c r="M44" s="33">
        <f t="shared" si="26"/>
        <v>1.5406402045814005</v>
      </c>
      <c r="N44" s="33">
        <f t="shared" si="26"/>
        <v>1.5671864319991045</v>
      </c>
      <c r="O44" s="33">
        <f t="shared" si="26"/>
        <v>1.5671874319991019</v>
      </c>
      <c r="P44" s="33">
        <f t="shared" si="26"/>
        <v>1.2938576302071993</v>
      </c>
      <c r="Q44" s="33">
        <f t="shared" si="26"/>
        <v>1.2597379126123016</v>
      </c>
      <c r="R44" s="33">
        <f t="shared" si="26"/>
        <v>1.2597369126123041</v>
      </c>
      <c r="S44" s="33">
        <f t="shared" si="26"/>
        <v>1.1546460773320035</v>
      </c>
      <c r="T44" s="33">
        <f t="shared" si="26"/>
        <v>1.1208941409399031</v>
      </c>
      <c r="U44" s="33">
        <f t="shared" si="26"/>
        <v>1.1133976285439005</v>
      </c>
      <c r="V44" s="33">
        <f t="shared" si="26"/>
        <v>0.96775561793999998</v>
      </c>
      <c r="W44" s="33">
        <f t="shared" si="26"/>
        <v>0.90439611932740149</v>
      </c>
      <c r="X44" s="33">
        <f t="shared" si="26"/>
        <v>0.8526542971508988</v>
      </c>
      <c r="Y44" s="33">
        <f t="shared" si="26"/>
        <v>0.78516091711509972</v>
      </c>
      <c r="Z44" s="33">
        <f t="shared" si="26"/>
        <v>0.78515991711510225</v>
      </c>
      <c r="AA44" s="33">
        <f t="shared" si="26"/>
        <v>0.74338832311800473</v>
      </c>
      <c r="AB44" s="33">
        <f t="shared" si="26"/>
        <v>0.70333434430150277</v>
      </c>
      <c r="AC44" s="33">
        <f t="shared" si="26"/>
        <v>0.66210887714040467</v>
      </c>
      <c r="AD44" s="33">
        <f t="shared" si="26"/>
        <v>0.62363072000290032</v>
      </c>
      <c r="AE44" s="33">
        <f t="shared" si="26"/>
        <v>0.58353027744099961</v>
      </c>
      <c r="AF44" s="33">
        <f t="shared" si="26"/>
        <v>0.54380197649329887</v>
      </c>
      <c r="AG44" s="33">
        <f t="shared" si="26"/>
        <v>0.45551886588620505</v>
      </c>
      <c r="AH44" s="33">
        <f t="shared" si="26"/>
        <v>0.43632828359289988</v>
      </c>
      <c r="AI44" s="33">
        <f t="shared" si="26"/>
        <v>0.4363272835929024</v>
      </c>
      <c r="AJ44" s="47">
        <f t="shared" si="9"/>
        <v>0</v>
      </c>
      <c r="AK44" s="47">
        <f t="shared" ref="AK44:BJ44" si="27">AK13-$AJ$13</f>
        <v>0.17743634146140153</v>
      </c>
      <c r="AL44" s="47">
        <f t="shared" si="27"/>
        <v>0.26503855481119842</v>
      </c>
      <c r="AM44" s="47">
        <f t="shared" si="27"/>
        <v>0.40361287053310235</v>
      </c>
      <c r="AN44" s="47">
        <f t="shared" si="27"/>
        <v>0.40361387053309983</v>
      </c>
      <c r="AO44" s="47">
        <f t="shared" si="27"/>
        <v>0.48493700247740179</v>
      </c>
      <c r="AP44" s="47">
        <f t="shared" si="27"/>
        <v>0.50780237044140364</v>
      </c>
      <c r="AQ44" s="47">
        <f t="shared" si="27"/>
        <v>0.54284382535010423</v>
      </c>
      <c r="AR44" s="47">
        <f t="shared" si="27"/>
        <v>0.6075551212312007</v>
      </c>
      <c r="AS44" s="47">
        <f t="shared" si="27"/>
        <v>0.64200934902019924</v>
      </c>
      <c r="AT44" s="47">
        <f t="shared" si="27"/>
        <v>0.59714766736590263</v>
      </c>
      <c r="AU44" s="47">
        <f t="shared" si="27"/>
        <v>0.57850234800859823</v>
      </c>
      <c r="AV44" s="47">
        <f t="shared" si="27"/>
        <v>0.42995486393490268</v>
      </c>
      <c r="AW44" s="47">
        <f t="shared" si="27"/>
        <v>0.38669490041910137</v>
      </c>
      <c r="AX44" s="47">
        <f t="shared" si="27"/>
        <v>0.27977127280409775</v>
      </c>
      <c r="AY44" s="47">
        <f t="shared" si="27"/>
        <v>0.27977027280410027</v>
      </c>
      <c r="AZ44" s="47">
        <f t="shared" si="27"/>
        <v>0.2797692728041028</v>
      </c>
      <c r="BA44" s="47">
        <f t="shared" si="27"/>
        <v>0.24636458511890424</v>
      </c>
      <c r="BB44" s="47">
        <f t="shared" si="27"/>
        <v>5.2861798190001252E-2</v>
      </c>
      <c r="BC44" s="47">
        <f t="shared" si="27"/>
        <v>-9.8481084915697181E-2</v>
      </c>
      <c r="BD44" s="47">
        <f t="shared" si="27"/>
        <v>-0.20571153797809671</v>
      </c>
      <c r="BE44" s="47">
        <f t="shared" si="27"/>
        <v>-0.29238407595330074</v>
      </c>
      <c r="BF44" s="47">
        <f t="shared" si="27"/>
        <v>-0.34446545343019608</v>
      </c>
      <c r="BG44" s="47">
        <f t="shared" si="27"/>
        <v>-0.50142146474819782</v>
      </c>
      <c r="BH44" s="47">
        <f t="shared" si="27"/>
        <v>-0.63845769260890251</v>
      </c>
      <c r="BI44" s="47">
        <f t="shared" si="27"/>
        <v>-0.77946019656160104</v>
      </c>
      <c r="BJ44" s="47">
        <f t="shared" si="27"/>
        <v>-0.77946119656159851</v>
      </c>
    </row>
    <row r="45" spans="1:62" x14ac:dyDescent="0.3">
      <c r="A45" s="28">
        <v>9</v>
      </c>
      <c r="B45" s="30">
        <v>37.520000000000003</v>
      </c>
      <c r="C45" s="24">
        <v>10</v>
      </c>
      <c r="D45" s="33">
        <f t="shared" si="11"/>
        <v>0</v>
      </c>
      <c r="E45" s="33">
        <f t="shared" ref="E45:AI45" si="28">E14-$B$14</f>
        <v>0.15753914136950442</v>
      </c>
      <c r="F45" s="33">
        <f t="shared" si="28"/>
        <v>0.42583859996910434</v>
      </c>
      <c r="G45" s="33">
        <f t="shared" si="28"/>
        <v>0.64454236298660561</v>
      </c>
      <c r="H45" s="33">
        <f t="shared" si="28"/>
        <v>0.98594826237690114</v>
      </c>
      <c r="I45" s="33">
        <f t="shared" si="28"/>
        <v>1.1318672350745018</v>
      </c>
      <c r="J45" s="33">
        <f t="shared" si="28"/>
        <v>1.3116411173747053</v>
      </c>
      <c r="K45" s="33">
        <f t="shared" si="28"/>
        <v>1.4568785377664994</v>
      </c>
      <c r="L45" s="33">
        <f t="shared" si="28"/>
        <v>1.6447085847257057</v>
      </c>
      <c r="M45" s="33">
        <f t="shared" si="28"/>
        <v>1.6621130414020016</v>
      </c>
      <c r="N45" s="33">
        <f t="shared" si="28"/>
        <v>1.6874701023415</v>
      </c>
      <c r="O45" s="33">
        <f t="shared" si="28"/>
        <v>1.607422800741503</v>
      </c>
      <c r="P45" s="33">
        <f t="shared" si="28"/>
        <v>1.4158481085295023</v>
      </c>
      <c r="Q45" s="33">
        <f t="shared" si="28"/>
        <v>1.3836705957911022</v>
      </c>
      <c r="R45" s="33">
        <f t="shared" si="28"/>
        <v>1.3836695957911047</v>
      </c>
      <c r="S45" s="33">
        <f t="shared" si="28"/>
        <v>1.278473439920603</v>
      </c>
      <c r="T45" s="33">
        <f t="shared" si="28"/>
        <v>1.2470178979589051</v>
      </c>
      <c r="U45" s="33">
        <f t="shared" si="28"/>
        <v>1.2410784204567022</v>
      </c>
      <c r="V45" s="33">
        <f t="shared" si="28"/>
        <v>1.0859240490091011</v>
      </c>
      <c r="W45" s="33">
        <f t="shared" si="28"/>
        <v>1.0227308587357058</v>
      </c>
      <c r="X45" s="33">
        <f t="shared" si="28"/>
        <v>0.9686614046802049</v>
      </c>
      <c r="Y45" s="33">
        <f t="shared" si="28"/>
        <v>0.90986807926990565</v>
      </c>
      <c r="Z45" s="33">
        <f t="shared" si="28"/>
        <v>0.90986707926990107</v>
      </c>
      <c r="AA45" s="33">
        <f t="shared" si="28"/>
        <v>0.87128454190870031</v>
      </c>
      <c r="AB45" s="33">
        <f t="shared" si="28"/>
        <v>0.83227473442810407</v>
      </c>
      <c r="AC45" s="33">
        <f t="shared" si="28"/>
        <v>0.79335718426800383</v>
      </c>
      <c r="AD45" s="33">
        <f t="shared" si="28"/>
        <v>0.75236806000500422</v>
      </c>
      <c r="AE45" s="33">
        <f t="shared" si="28"/>
        <v>0.70972060851830321</v>
      </c>
      <c r="AF45" s="33">
        <f t="shared" si="28"/>
        <v>0.67090080418880405</v>
      </c>
      <c r="AG45" s="33">
        <f t="shared" si="28"/>
        <v>0.58096111444950083</v>
      </c>
      <c r="AH45" s="33">
        <f t="shared" si="28"/>
        <v>0.56145706385890293</v>
      </c>
      <c r="AI45" s="33">
        <f t="shared" si="28"/>
        <v>0.56145606385890545</v>
      </c>
      <c r="AJ45" s="47">
        <f t="shared" si="9"/>
        <v>0</v>
      </c>
      <c r="AK45" s="47">
        <f t="shared" ref="AK45:BJ45" si="29">AK14-$AJ$14</f>
        <v>0.25197243848000284</v>
      </c>
      <c r="AL45" s="47">
        <f t="shared" si="29"/>
        <v>0.32316734373319633</v>
      </c>
      <c r="AM45" s="47">
        <f t="shared" si="29"/>
        <v>0.44163668202389772</v>
      </c>
      <c r="AN45" s="47">
        <f t="shared" si="29"/>
        <v>0.4416376820239023</v>
      </c>
      <c r="AO45" s="47">
        <f t="shared" si="29"/>
        <v>0.47793574694159702</v>
      </c>
      <c r="AP45" s="47">
        <f t="shared" si="29"/>
        <v>0.4779367469416016</v>
      </c>
      <c r="AQ45" s="47">
        <f t="shared" si="29"/>
        <v>0.47793774694159907</v>
      </c>
      <c r="AR45" s="47">
        <f t="shared" si="29"/>
        <v>0.51656594745659845</v>
      </c>
      <c r="AS45" s="47">
        <f t="shared" si="29"/>
        <v>0.54296076599899834</v>
      </c>
      <c r="AT45" s="47">
        <f t="shared" si="29"/>
        <v>0.50420807178729632</v>
      </c>
      <c r="AU45" s="47">
        <f t="shared" si="29"/>
        <v>0.50420707178729884</v>
      </c>
      <c r="AV45" s="47">
        <f t="shared" si="29"/>
        <v>0.39868110058059614</v>
      </c>
      <c r="AW45" s="47">
        <f t="shared" si="29"/>
        <v>0.38442926888640017</v>
      </c>
      <c r="AX45" s="47">
        <f t="shared" si="29"/>
        <v>0.31071526916250036</v>
      </c>
      <c r="AY45" s="47">
        <f t="shared" si="29"/>
        <v>0.31071426916250289</v>
      </c>
      <c r="AZ45" s="47">
        <f t="shared" si="29"/>
        <v>0.31071326916249831</v>
      </c>
      <c r="BA45" s="47">
        <f t="shared" si="29"/>
        <v>0.31071226916250083</v>
      </c>
      <c r="BB45" s="47">
        <f t="shared" si="29"/>
        <v>0.14279809028050039</v>
      </c>
      <c r="BC45" s="47">
        <f t="shared" si="29"/>
        <v>-7.8851385422993303E-3</v>
      </c>
      <c r="BD45" s="47">
        <f t="shared" si="29"/>
        <v>-0.10813054187590154</v>
      </c>
      <c r="BE45" s="47">
        <f t="shared" si="29"/>
        <v>-0.19525726323539772</v>
      </c>
      <c r="BF45" s="47">
        <f t="shared" si="29"/>
        <v>-0.24483069015330017</v>
      </c>
      <c r="BG45" s="47">
        <f t="shared" si="29"/>
        <v>-0.39344337273060148</v>
      </c>
      <c r="BH45" s="47">
        <f t="shared" si="29"/>
        <v>-0.53026475464940148</v>
      </c>
      <c r="BI45" s="47">
        <f t="shared" si="29"/>
        <v>-0.66592174431160345</v>
      </c>
      <c r="BJ45" s="47">
        <f t="shared" si="29"/>
        <v>-0.66592274431160092</v>
      </c>
    </row>
    <row r="46" spans="1:62" x14ac:dyDescent="0.3">
      <c r="A46" s="28">
        <v>10</v>
      </c>
      <c r="B46" s="30">
        <v>37.340000000000003</v>
      </c>
      <c r="C46" s="24">
        <v>11</v>
      </c>
      <c r="D46" s="33">
        <f t="shared" si="11"/>
        <v>0</v>
      </c>
      <c r="E46" s="33">
        <f t="shared" ref="E46:AI46" si="30">E15-$B$15</f>
        <v>0.32177471678269853</v>
      </c>
      <c r="F46" s="33">
        <f t="shared" si="30"/>
        <v>0.57880860536349843</v>
      </c>
      <c r="G46" s="33">
        <f t="shared" si="30"/>
        <v>0.72922252432829993</v>
      </c>
      <c r="H46" s="33">
        <f t="shared" si="30"/>
        <v>1.0220015156730042</v>
      </c>
      <c r="I46" s="33">
        <f t="shared" si="30"/>
        <v>1.1515470952798026</v>
      </c>
      <c r="J46" s="33">
        <f t="shared" si="30"/>
        <v>1.3055692473218983</v>
      </c>
      <c r="K46" s="33">
        <f t="shared" si="30"/>
        <v>1.4269091910791047</v>
      </c>
      <c r="L46" s="33">
        <f t="shared" si="30"/>
        <v>1.5983160773917007</v>
      </c>
      <c r="M46" s="33">
        <f t="shared" si="30"/>
        <v>1.6000891876491039</v>
      </c>
      <c r="N46" s="33">
        <f t="shared" si="30"/>
        <v>1.6181884881770046</v>
      </c>
      <c r="O46" s="33">
        <f t="shared" si="30"/>
        <v>1.5454346536438024</v>
      </c>
      <c r="P46" s="33">
        <f t="shared" si="30"/>
        <v>1.3515028668978033</v>
      </c>
      <c r="Q46" s="33">
        <f t="shared" si="30"/>
        <v>1.3427654873575037</v>
      </c>
      <c r="R46" s="33">
        <f t="shared" si="30"/>
        <v>1.3427644873574991</v>
      </c>
      <c r="S46" s="33">
        <f t="shared" si="30"/>
        <v>1.2926316038563002</v>
      </c>
      <c r="T46" s="33">
        <f t="shared" si="30"/>
        <v>1.2813994584411006</v>
      </c>
      <c r="U46" s="33">
        <f t="shared" si="30"/>
        <v>1.2813984584411031</v>
      </c>
      <c r="V46" s="33">
        <f t="shared" si="30"/>
        <v>1.1569373030326986</v>
      </c>
      <c r="W46" s="33">
        <f t="shared" si="30"/>
        <v>1.101302681166402</v>
      </c>
      <c r="X46" s="33">
        <f t="shared" si="30"/>
        <v>1.0546774270461015</v>
      </c>
      <c r="Y46" s="33">
        <f t="shared" si="30"/>
        <v>0.99601518736150041</v>
      </c>
      <c r="Z46" s="33">
        <f t="shared" si="30"/>
        <v>0.99601418736150293</v>
      </c>
      <c r="AA46" s="33">
        <f t="shared" si="30"/>
        <v>0.95792099659140462</v>
      </c>
      <c r="AB46" s="33">
        <f t="shared" si="30"/>
        <v>0.91376409740350084</v>
      </c>
      <c r="AC46" s="33">
        <f t="shared" si="30"/>
        <v>0.87265074887750416</v>
      </c>
      <c r="AD46" s="33">
        <f t="shared" si="30"/>
        <v>0.83103933186010437</v>
      </c>
      <c r="AE46" s="33">
        <f t="shared" si="30"/>
        <v>0.79230302055910329</v>
      </c>
      <c r="AF46" s="33">
        <f t="shared" si="30"/>
        <v>0.75369897606750413</v>
      </c>
      <c r="AG46" s="33">
        <f t="shared" si="30"/>
        <v>0.64999330662880084</v>
      </c>
      <c r="AH46" s="33">
        <f t="shared" si="30"/>
        <v>0.63016845940430244</v>
      </c>
      <c r="AI46" s="33">
        <f t="shared" si="30"/>
        <v>0.63016745940429786</v>
      </c>
      <c r="AJ46" s="47">
        <f t="shared" si="9"/>
        <v>0</v>
      </c>
      <c r="AK46" s="47">
        <f t="shared" ref="AK46:BJ46" si="31">AK15-$AJ$15</f>
        <v>0.24130774597369964</v>
      </c>
      <c r="AL46" s="47">
        <f t="shared" si="31"/>
        <v>0.31360624163490058</v>
      </c>
      <c r="AM46" s="47">
        <f t="shared" si="31"/>
        <v>0.43160949738309995</v>
      </c>
      <c r="AN46" s="47">
        <f t="shared" si="31"/>
        <v>0.43161049738310453</v>
      </c>
      <c r="AO46" s="47">
        <f t="shared" si="31"/>
        <v>0.46976117040190246</v>
      </c>
      <c r="AP46" s="47">
        <f t="shared" si="31"/>
        <v>0.46976217040189994</v>
      </c>
      <c r="AQ46" s="47">
        <f t="shared" si="31"/>
        <v>0.47409222554530572</v>
      </c>
      <c r="AR46" s="47">
        <f t="shared" si="31"/>
        <v>0.51610425071380206</v>
      </c>
      <c r="AS46" s="47">
        <f t="shared" si="31"/>
        <v>0.54281876914160421</v>
      </c>
      <c r="AT46" s="47">
        <f t="shared" si="31"/>
        <v>0.50744235187660536</v>
      </c>
      <c r="AU46" s="47">
        <f t="shared" si="31"/>
        <v>0.50641142484890622</v>
      </c>
      <c r="AV46" s="47">
        <f t="shared" si="31"/>
        <v>0.40123930468130453</v>
      </c>
      <c r="AW46" s="47">
        <f t="shared" si="31"/>
        <v>0.38548716753590639</v>
      </c>
      <c r="AX46" s="47">
        <f t="shared" si="31"/>
        <v>0.30928822657670452</v>
      </c>
      <c r="AY46" s="47">
        <f t="shared" si="31"/>
        <v>0.30928722657669994</v>
      </c>
      <c r="AZ46" s="47">
        <f t="shared" si="31"/>
        <v>0.30928622657670246</v>
      </c>
      <c r="BA46" s="47">
        <f t="shared" si="31"/>
        <v>0.30928522657670499</v>
      </c>
      <c r="BB46" s="47">
        <f t="shared" si="31"/>
        <v>0.14439463559820354</v>
      </c>
      <c r="BC46" s="47">
        <f t="shared" si="31"/>
        <v>8.5929507019955054E-4</v>
      </c>
      <c r="BD46" s="47">
        <f t="shared" si="31"/>
        <v>-9.5372249659497754E-2</v>
      </c>
      <c r="BE46" s="47">
        <f t="shared" si="31"/>
        <v>-0.18588216457819584</v>
      </c>
      <c r="BF46" s="47">
        <f t="shared" si="31"/>
        <v>-0.234394670285198</v>
      </c>
      <c r="BG46" s="47">
        <f t="shared" si="31"/>
        <v>-0.37789364486189925</v>
      </c>
      <c r="BH46" s="47">
        <f t="shared" si="31"/>
        <v>-0.51667211355339759</v>
      </c>
      <c r="BI46" s="47">
        <f t="shared" si="31"/>
        <v>-0.65425510938669618</v>
      </c>
      <c r="BJ46" s="47">
        <f t="shared" si="31"/>
        <v>-0.65425610938669365</v>
      </c>
    </row>
    <row r="47" spans="1:62" x14ac:dyDescent="0.3">
      <c r="A47" s="28">
        <v>11</v>
      </c>
      <c r="B47" s="30">
        <v>37.07</v>
      </c>
      <c r="C47" s="24">
        <v>12</v>
      </c>
      <c r="D47" s="33">
        <f t="shared" si="11"/>
        <v>0</v>
      </c>
      <c r="E47" s="33">
        <f t="shared" ref="E47:AI47" si="32">E16-$B$16</f>
        <v>0.24369876982429872</v>
      </c>
      <c r="F47" s="33">
        <f t="shared" si="32"/>
        <v>0.50249295702540309</v>
      </c>
      <c r="G47" s="33">
        <f t="shared" si="32"/>
        <v>0.67401372932310011</v>
      </c>
      <c r="H47" s="33">
        <f t="shared" si="32"/>
        <v>0.97520035611360356</v>
      </c>
      <c r="I47" s="33">
        <f t="shared" si="32"/>
        <v>1.1104461410267987</v>
      </c>
      <c r="J47" s="33">
        <f t="shared" si="32"/>
        <v>1.2707245631601012</v>
      </c>
      <c r="K47" s="33">
        <f t="shared" si="32"/>
        <v>1.4032885721331994</v>
      </c>
      <c r="L47" s="33">
        <f t="shared" si="32"/>
        <v>1.5742529352839014</v>
      </c>
      <c r="M47" s="33">
        <f t="shared" si="32"/>
        <v>1.5806493999794</v>
      </c>
      <c r="N47" s="33">
        <f t="shared" si="32"/>
        <v>1.6002998774368038</v>
      </c>
      <c r="O47" s="33">
        <f t="shared" si="32"/>
        <v>1.521587953280104</v>
      </c>
      <c r="P47" s="33">
        <f t="shared" si="32"/>
        <v>1.3169017369431018</v>
      </c>
      <c r="Q47" s="33">
        <f t="shared" si="32"/>
        <v>1.3019952378986019</v>
      </c>
      <c r="R47" s="33">
        <f t="shared" si="32"/>
        <v>1.3019942378986045</v>
      </c>
      <c r="S47" s="33">
        <f t="shared" si="32"/>
        <v>1.2371234761126004</v>
      </c>
      <c r="T47" s="33">
        <f t="shared" si="32"/>
        <v>1.221706497172498</v>
      </c>
      <c r="U47" s="33">
        <f t="shared" si="32"/>
        <v>1.2217054971725005</v>
      </c>
      <c r="V47" s="33">
        <f t="shared" si="32"/>
        <v>1.0770009181361999</v>
      </c>
      <c r="W47" s="33">
        <f t="shared" si="32"/>
        <v>1.0195130860142996</v>
      </c>
      <c r="X47" s="33">
        <f t="shared" si="32"/>
        <v>0.96841444623360218</v>
      </c>
      <c r="Y47" s="33">
        <f t="shared" si="32"/>
        <v>0.90671724251149755</v>
      </c>
      <c r="Z47" s="33">
        <f t="shared" si="32"/>
        <v>0.90671624251150007</v>
      </c>
      <c r="AA47" s="33">
        <f t="shared" si="32"/>
        <v>0.86362239483670322</v>
      </c>
      <c r="AB47" s="33">
        <f t="shared" si="32"/>
        <v>0.82516195746789833</v>
      </c>
      <c r="AC47" s="33">
        <f t="shared" si="32"/>
        <v>0.77817233143320408</v>
      </c>
      <c r="AD47" s="33">
        <f t="shared" si="32"/>
        <v>0.73660602918739926</v>
      </c>
      <c r="AE47" s="33">
        <f t="shared" si="32"/>
        <v>0.69772146857410178</v>
      </c>
      <c r="AF47" s="33">
        <f t="shared" si="32"/>
        <v>0.65812787077670265</v>
      </c>
      <c r="AG47" s="33">
        <f t="shared" si="32"/>
        <v>0.56520887894949823</v>
      </c>
      <c r="AH47" s="33">
        <f t="shared" si="32"/>
        <v>0.54457119529899956</v>
      </c>
      <c r="AI47" s="33">
        <f t="shared" si="32"/>
        <v>0.54457019529900208</v>
      </c>
      <c r="AJ47" s="47">
        <f t="shared" si="9"/>
        <v>0</v>
      </c>
      <c r="AK47" s="47">
        <f t="shared" ref="AK47:BJ47" si="33">AK16-$AJ$16</f>
        <v>0.22041475490190265</v>
      </c>
      <c r="AL47" s="47">
        <f t="shared" si="33"/>
        <v>0.31388480761459903</v>
      </c>
      <c r="AM47" s="47">
        <f t="shared" si="33"/>
        <v>0.44726605679620235</v>
      </c>
      <c r="AN47" s="47">
        <f t="shared" si="33"/>
        <v>0.44726705679619982</v>
      </c>
      <c r="AO47" s="47">
        <f t="shared" si="33"/>
        <v>0.49596473388260165</v>
      </c>
      <c r="AP47" s="47">
        <f t="shared" si="33"/>
        <v>0.50030193461039829</v>
      </c>
      <c r="AQ47" s="47">
        <f t="shared" si="33"/>
        <v>0.5181287667596024</v>
      </c>
      <c r="AR47" s="47">
        <f t="shared" si="33"/>
        <v>0.56737945370009868</v>
      </c>
      <c r="AS47" s="47">
        <f t="shared" si="33"/>
        <v>0.59643570772570342</v>
      </c>
      <c r="AT47" s="47">
        <f t="shared" si="33"/>
        <v>0.55782686079960087</v>
      </c>
      <c r="AU47" s="47">
        <f t="shared" si="33"/>
        <v>0.55095840905379845</v>
      </c>
      <c r="AV47" s="47">
        <f t="shared" si="33"/>
        <v>0.43681018007330152</v>
      </c>
      <c r="AW47" s="47">
        <f t="shared" si="33"/>
        <v>0.4077790959506018</v>
      </c>
      <c r="AX47" s="47">
        <f t="shared" si="33"/>
        <v>0.32431033600820314</v>
      </c>
      <c r="AY47" s="47">
        <f t="shared" si="33"/>
        <v>0.32430933600819856</v>
      </c>
      <c r="AZ47" s="47">
        <f t="shared" si="33"/>
        <v>0.32430833600820108</v>
      </c>
      <c r="BA47" s="47">
        <f t="shared" si="33"/>
        <v>0.32430733600820361</v>
      </c>
      <c r="BB47" s="47">
        <f t="shared" si="33"/>
        <v>0.12039969335609868</v>
      </c>
      <c r="BC47" s="47">
        <f t="shared" si="33"/>
        <v>-3.2858717461600406E-2</v>
      </c>
      <c r="BD47" s="47">
        <f t="shared" si="33"/>
        <v>-0.13000899397930255</v>
      </c>
      <c r="BE47" s="47">
        <f t="shared" si="33"/>
        <v>-0.21713546119269722</v>
      </c>
      <c r="BF47" s="47">
        <f t="shared" si="33"/>
        <v>-0.26514414267199982</v>
      </c>
      <c r="BG47" s="47">
        <f t="shared" si="33"/>
        <v>-0.41080772632859919</v>
      </c>
      <c r="BH47" s="47">
        <f t="shared" si="33"/>
        <v>-0.5510103595937963</v>
      </c>
      <c r="BI47" s="47">
        <f t="shared" si="33"/>
        <v>-0.700700339799603</v>
      </c>
      <c r="BJ47" s="47">
        <f t="shared" si="33"/>
        <v>-0.70070133979960048</v>
      </c>
    </row>
    <row r="48" spans="1:62" x14ac:dyDescent="0.3">
      <c r="A48" s="28">
        <v>12</v>
      </c>
      <c r="B48" s="30">
        <v>36.81</v>
      </c>
      <c r="C48" s="24">
        <v>13</v>
      </c>
      <c r="D48" s="33">
        <f t="shared" si="11"/>
        <v>0</v>
      </c>
      <c r="E48" s="33">
        <f t="shared" ref="E48:AI48" si="34">E17-$B$17</f>
        <v>0.16336482567189847</v>
      </c>
      <c r="F48" s="33">
        <f t="shared" si="34"/>
        <v>0.44559715854400395</v>
      </c>
      <c r="G48" s="33">
        <f t="shared" si="34"/>
        <v>0.61287645895519915</v>
      </c>
      <c r="H48" s="33">
        <f t="shared" si="34"/>
        <v>0.94815867151090316</v>
      </c>
      <c r="I48" s="33">
        <f t="shared" si="34"/>
        <v>1.1058378336406989</v>
      </c>
      <c r="J48" s="33">
        <f t="shared" si="34"/>
        <v>1.2795974155555001</v>
      </c>
      <c r="K48" s="33">
        <f t="shared" si="34"/>
        <v>1.4192699807488012</v>
      </c>
      <c r="L48" s="33">
        <f t="shared" si="34"/>
        <v>1.6103172815004996</v>
      </c>
      <c r="M48" s="33">
        <f t="shared" si="34"/>
        <v>1.6263285359828998</v>
      </c>
      <c r="N48" s="33">
        <f t="shared" si="34"/>
        <v>1.6507705392445047</v>
      </c>
      <c r="O48" s="33">
        <f t="shared" si="34"/>
        <v>1.5711295122215034</v>
      </c>
      <c r="P48" s="33">
        <f t="shared" si="34"/>
        <v>1.3819383357589032</v>
      </c>
      <c r="Q48" s="33">
        <f t="shared" si="34"/>
        <v>1.3479228055389996</v>
      </c>
      <c r="R48" s="33">
        <f t="shared" si="34"/>
        <v>1.3479218055390021</v>
      </c>
      <c r="S48" s="33">
        <f t="shared" si="34"/>
        <v>1.2549458809790011</v>
      </c>
      <c r="T48" s="33">
        <f t="shared" si="34"/>
        <v>1.2237692645564024</v>
      </c>
      <c r="U48" s="33">
        <f t="shared" si="34"/>
        <v>1.2200783396552026</v>
      </c>
      <c r="V48" s="33">
        <f t="shared" si="34"/>
        <v>1.070701295801598</v>
      </c>
      <c r="W48" s="33">
        <f t="shared" si="34"/>
        <v>1.0037549323449042</v>
      </c>
      <c r="X48" s="33">
        <f t="shared" si="34"/>
        <v>0.95332009313889898</v>
      </c>
      <c r="Y48" s="33">
        <f t="shared" si="34"/>
        <v>0.89490693231709884</v>
      </c>
      <c r="Z48" s="33">
        <f t="shared" si="34"/>
        <v>0.89490593231710136</v>
      </c>
      <c r="AA48" s="33">
        <f t="shared" si="34"/>
        <v>0.85341479611100368</v>
      </c>
      <c r="AB48" s="33">
        <f t="shared" si="34"/>
        <v>0.81448855924929831</v>
      </c>
      <c r="AC48" s="33">
        <f t="shared" si="34"/>
        <v>0.77598569600600342</v>
      </c>
      <c r="AD48" s="33">
        <f t="shared" si="34"/>
        <v>0.73668126215009977</v>
      </c>
      <c r="AE48" s="33">
        <f t="shared" si="34"/>
        <v>0.69818606166930408</v>
      </c>
      <c r="AF48" s="33">
        <f t="shared" si="34"/>
        <v>0.6591721264163013</v>
      </c>
      <c r="AG48" s="33">
        <f t="shared" si="34"/>
        <v>0.56885169100310407</v>
      </c>
      <c r="AH48" s="33">
        <f t="shared" si="34"/>
        <v>0.54580500658639863</v>
      </c>
      <c r="AI48" s="33">
        <f t="shared" si="34"/>
        <v>0.54580400658640116</v>
      </c>
      <c r="AJ48" s="47">
        <f t="shared" si="9"/>
        <v>0</v>
      </c>
      <c r="AK48" s="47">
        <f t="shared" ref="AK48:BJ48" si="35">AK17-$AJ$17</f>
        <v>0.19790516250200341</v>
      </c>
      <c r="AL48" s="47">
        <f t="shared" si="35"/>
        <v>0.28240179880390315</v>
      </c>
      <c r="AM48" s="47">
        <f t="shared" si="35"/>
        <v>0.42081294930080304</v>
      </c>
      <c r="AN48" s="47">
        <f t="shared" si="35"/>
        <v>0.42081394930080052</v>
      </c>
      <c r="AO48" s="47">
        <f t="shared" si="35"/>
        <v>0.51476069395680213</v>
      </c>
      <c r="AP48" s="47">
        <f t="shared" si="35"/>
        <v>0.54242401835259813</v>
      </c>
      <c r="AQ48" s="47">
        <f t="shared" si="35"/>
        <v>0.58081345278019825</v>
      </c>
      <c r="AR48" s="47">
        <f t="shared" si="35"/>
        <v>0.64266404555380063</v>
      </c>
      <c r="AS48" s="47">
        <f t="shared" si="35"/>
        <v>0.67663972749389956</v>
      </c>
      <c r="AT48" s="47">
        <f t="shared" si="35"/>
        <v>0.63157870930439941</v>
      </c>
      <c r="AU48" s="47">
        <f t="shared" si="35"/>
        <v>0.61002205313089775</v>
      </c>
      <c r="AV48" s="47">
        <f t="shared" si="35"/>
        <v>0.46327889502040165</v>
      </c>
      <c r="AW48" s="47">
        <f t="shared" si="35"/>
        <v>0.41235185627670035</v>
      </c>
      <c r="AX48" s="47">
        <f t="shared" si="35"/>
        <v>0.3072963071911019</v>
      </c>
      <c r="AY48" s="47">
        <f t="shared" si="35"/>
        <v>0.30729530719110443</v>
      </c>
      <c r="AZ48" s="47">
        <f t="shared" si="35"/>
        <v>0.30729430719109985</v>
      </c>
      <c r="BA48" s="47">
        <f t="shared" si="35"/>
        <v>0.26517720889329865</v>
      </c>
      <c r="BB48" s="47">
        <f t="shared" si="35"/>
        <v>6.8948258268001439E-2</v>
      </c>
      <c r="BC48" s="47">
        <f t="shared" si="35"/>
        <v>-8.0654779977898272E-2</v>
      </c>
      <c r="BD48" s="47">
        <f t="shared" si="35"/>
        <v>-0.18398267030839577</v>
      </c>
      <c r="BE48" s="47">
        <f t="shared" si="35"/>
        <v>-0.2865390016185998</v>
      </c>
      <c r="BF48" s="47">
        <f t="shared" si="35"/>
        <v>-0.3388799576832966</v>
      </c>
      <c r="BG48" s="47">
        <f t="shared" si="35"/>
        <v>-0.48765687273520086</v>
      </c>
      <c r="BH48" s="47">
        <f t="shared" si="35"/>
        <v>-0.62845728160719716</v>
      </c>
      <c r="BI48" s="47">
        <f t="shared" si="35"/>
        <v>-0.77274559480449767</v>
      </c>
      <c r="BJ48" s="47">
        <f t="shared" si="35"/>
        <v>-0.77274659480450225</v>
      </c>
    </row>
    <row r="49" spans="1:62" x14ac:dyDescent="0.3">
      <c r="A49" s="28">
        <v>13</v>
      </c>
      <c r="B49" s="30">
        <v>36.450000000000003</v>
      </c>
      <c r="C49" s="24">
        <v>14</v>
      </c>
      <c r="D49" s="33">
        <f t="shared" si="11"/>
        <v>0</v>
      </c>
      <c r="E49" s="33">
        <f t="shared" ref="E49:AI49" si="36">E18-$B$18</f>
        <v>0.23781622816979819</v>
      </c>
      <c r="F49" s="33">
        <f t="shared" si="36"/>
        <v>0.49619137458619633</v>
      </c>
      <c r="G49" s="33">
        <f t="shared" si="36"/>
        <v>0.64901648453609795</v>
      </c>
      <c r="H49" s="33">
        <f t="shared" si="36"/>
        <v>1.0023109245929973</v>
      </c>
      <c r="I49" s="33">
        <f t="shared" si="36"/>
        <v>1.1435991382607966</v>
      </c>
      <c r="J49" s="33">
        <f t="shared" si="36"/>
        <v>1.306515762465402</v>
      </c>
      <c r="K49" s="33">
        <f t="shared" si="36"/>
        <v>1.4278604239598991</v>
      </c>
      <c r="L49" s="33">
        <f t="shared" si="36"/>
        <v>1.6038109638082005</v>
      </c>
      <c r="M49" s="33">
        <f t="shared" si="36"/>
        <v>1.6109574256702999</v>
      </c>
      <c r="N49" s="33">
        <f t="shared" si="36"/>
        <v>1.6308603595607991</v>
      </c>
      <c r="O49" s="33">
        <f t="shared" si="36"/>
        <v>1.5555736763769019</v>
      </c>
      <c r="P49" s="33">
        <f t="shared" si="36"/>
        <v>1.3532154056563002</v>
      </c>
      <c r="Q49" s="33">
        <f t="shared" si="36"/>
        <v>1.3366882625738015</v>
      </c>
      <c r="R49" s="33">
        <f t="shared" si="36"/>
        <v>1.3366872625737969</v>
      </c>
      <c r="S49" s="33">
        <f t="shared" si="36"/>
        <v>1.2769915507874998</v>
      </c>
      <c r="T49" s="33">
        <f t="shared" si="36"/>
        <v>1.2618415641671987</v>
      </c>
      <c r="U49" s="33">
        <f t="shared" si="36"/>
        <v>1.2618405641672013</v>
      </c>
      <c r="V49" s="33">
        <f t="shared" si="36"/>
        <v>1.1295158583395022</v>
      </c>
      <c r="W49" s="33">
        <f t="shared" si="36"/>
        <v>1.071078441285799</v>
      </c>
      <c r="X49" s="33">
        <f t="shared" si="36"/>
        <v>1.0233685272125967</v>
      </c>
      <c r="Y49" s="33">
        <f t="shared" si="36"/>
        <v>0.9626578183270027</v>
      </c>
      <c r="Z49" s="33">
        <f t="shared" si="36"/>
        <v>0.96265681832699812</v>
      </c>
      <c r="AA49" s="33">
        <f t="shared" si="36"/>
        <v>0.92245620602010092</v>
      </c>
      <c r="AB49" s="33">
        <f t="shared" si="36"/>
        <v>0.88369888474539948</v>
      </c>
      <c r="AC49" s="33">
        <f t="shared" si="36"/>
        <v>0.84525617215000182</v>
      </c>
      <c r="AD49" s="33">
        <f t="shared" si="36"/>
        <v>0.80477278838800004</v>
      </c>
      <c r="AE49" s="33">
        <f t="shared" si="36"/>
        <v>0.76480220400009813</v>
      </c>
      <c r="AF49" s="33">
        <f t="shared" si="36"/>
        <v>0.72498902471689775</v>
      </c>
      <c r="AG49" s="33">
        <f t="shared" si="36"/>
        <v>0.62981705797889731</v>
      </c>
      <c r="AH49" s="33">
        <f t="shared" si="36"/>
        <v>0.60987931463260026</v>
      </c>
      <c r="AI49" s="33">
        <f t="shared" si="36"/>
        <v>0.60987831463260278</v>
      </c>
      <c r="AJ49" s="47">
        <f t="shared" si="9"/>
        <v>0</v>
      </c>
      <c r="AK49" s="47">
        <f t="shared" ref="AK49:BJ49" si="37">AK18-$AJ$18</f>
        <v>0.24943601075789701</v>
      </c>
      <c r="AL49" s="47">
        <f t="shared" si="37"/>
        <v>0.32399217520180201</v>
      </c>
      <c r="AM49" s="47">
        <f t="shared" si="37"/>
        <v>0.4486776872755982</v>
      </c>
      <c r="AN49" s="47">
        <f t="shared" si="37"/>
        <v>0.44867868727560278</v>
      </c>
      <c r="AO49" s="47">
        <f t="shared" si="37"/>
        <v>0.48610612333649783</v>
      </c>
      <c r="AP49" s="47">
        <f t="shared" si="37"/>
        <v>0.48610712333650241</v>
      </c>
      <c r="AQ49" s="47">
        <f t="shared" si="37"/>
        <v>0.49356587627639925</v>
      </c>
      <c r="AR49" s="47">
        <f t="shared" si="37"/>
        <v>0.53874141565589895</v>
      </c>
      <c r="AS49" s="47">
        <f t="shared" si="37"/>
        <v>0.56650803907709957</v>
      </c>
      <c r="AT49" s="47">
        <f t="shared" si="37"/>
        <v>0.53114223824230322</v>
      </c>
      <c r="AU49" s="47">
        <f t="shared" si="37"/>
        <v>0.52965301527319752</v>
      </c>
      <c r="AV49" s="47">
        <f t="shared" si="37"/>
        <v>0.42322890722140016</v>
      </c>
      <c r="AW49" s="47">
        <f t="shared" si="37"/>
        <v>0.40439083107209939</v>
      </c>
      <c r="AX49" s="47">
        <f t="shared" si="37"/>
        <v>0.3213792511879987</v>
      </c>
      <c r="AY49" s="47">
        <f t="shared" si="37"/>
        <v>0.32137825118800123</v>
      </c>
      <c r="AZ49" s="47">
        <f t="shared" si="37"/>
        <v>0.32137725118800375</v>
      </c>
      <c r="BA49" s="47">
        <f t="shared" si="37"/>
        <v>0.32137625118799917</v>
      </c>
      <c r="BB49" s="47">
        <f t="shared" si="37"/>
        <v>0.15396313291059727</v>
      </c>
      <c r="BC49" s="47">
        <f t="shared" si="37"/>
        <v>-5.5874321868998322E-3</v>
      </c>
      <c r="BD49" s="47">
        <f t="shared" si="37"/>
        <v>-0.10061352798769718</v>
      </c>
      <c r="BE49" s="47">
        <f t="shared" si="37"/>
        <v>-0.18869899470019647</v>
      </c>
      <c r="BF49" s="47">
        <f t="shared" si="37"/>
        <v>-0.23998853103670115</v>
      </c>
      <c r="BG49" s="47">
        <f t="shared" si="37"/>
        <v>-0.39533515286490228</v>
      </c>
      <c r="BH49" s="47">
        <f t="shared" si="37"/>
        <v>-0.53014851466350166</v>
      </c>
      <c r="BI49" s="47">
        <f t="shared" si="37"/>
        <v>-0.68802619410350019</v>
      </c>
      <c r="BJ49" s="47">
        <f t="shared" si="37"/>
        <v>-0.68802719410349766</v>
      </c>
    </row>
    <row r="50" spans="1:62" x14ac:dyDescent="0.3">
      <c r="A50" s="28">
        <v>14</v>
      </c>
      <c r="B50" s="30">
        <v>37.68</v>
      </c>
      <c r="C50" s="24">
        <v>15</v>
      </c>
      <c r="D50" s="33">
        <f t="shared" si="11"/>
        <v>0</v>
      </c>
      <c r="E50" s="33">
        <f t="shared" ref="E50:AI50" si="38">E19-$B$19</f>
        <v>0.26253638834310067</v>
      </c>
      <c r="F50" s="33">
        <f t="shared" si="38"/>
        <v>0.52993319698960306</v>
      </c>
      <c r="G50" s="33">
        <f t="shared" si="38"/>
        <v>0.68630570613459696</v>
      </c>
      <c r="H50" s="33">
        <f t="shared" si="38"/>
        <v>1.0016610604616005</v>
      </c>
      <c r="I50" s="33">
        <f t="shared" si="38"/>
        <v>1.1336789404649039</v>
      </c>
      <c r="J50" s="33">
        <f t="shared" si="38"/>
        <v>1.2970046732752039</v>
      </c>
      <c r="K50" s="33">
        <f t="shared" si="38"/>
        <v>1.4342728738095971</v>
      </c>
      <c r="L50" s="33">
        <f t="shared" si="38"/>
        <v>1.6031726187290971</v>
      </c>
      <c r="M50" s="33">
        <f t="shared" si="38"/>
        <v>1.6094683942369983</v>
      </c>
      <c r="N50" s="33">
        <f t="shared" si="38"/>
        <v>1.6290452652693972</v>
      </c>
      <c r="O50" s="33">
        <f t="shared" si="38"/>
        <v>1.6290462652694018</v>
      </c>
      <c r="P50" s="33">
        <f t="shared" si="38"/>
        <v>1.3728199308157016</v>
      </c>
      <c r="Q50" s="33">
        <f t="shared" si="38"/>
        <v>1.3549924958366972</v>
      </c>
      <c r="R50" s="33">
        <f t="shared" si="38"/>
        <v>1.3549914958367992</v>
      </c>
      <c r="S50" s="33">
        <f t="shared" si="38"/>
        <v>1.2864146262954037</v>
      </c>
      <c r="T50" s="33">
        <f t="shared" si="38"/>
        <v>1.2674162248830996</v>
      </c>
      <c r="U50" s="33">
        <f t="shared" si="38"/>
        <v>1.2674152248831021</v>
      </c>
      <c r="V50" s="33">
        <f t="shared" si="38"/>
        <v>1.1175475536112032</v>
      </c>
      <c r="W50" s="33">
        <f t="shared" si="38"/>
        <v>1.0594965469189006</v>
      </c>
      <c r="X50" s="33">
        <f t="shared" si="38"/>
        <v>1.0107416818893</v>
      </c>
      <c r="Y50" s="33">
        <f t="shared" si="38"/>
        <v>0.94681847782649697</v>
      </c>
      <c r="Z50" s="33">
        <f t="shared" si="38"/>
        <v>0.9468174778264995</v>
      </c>
      <c r="AA50" s="33">
        <f t="shared" si="38"/>
        <v>0.90769780726210314</v>
      </c>
      <c r="AB50" s="33">
        <f t="shared" si="38"/>
        <v>0.86887264770290074</v>
      </c>
      <c r="AC50" s="33">
        <f t="shared" si="38"/>
        <v>0.82727668671260091</v>
      </c>
      <c r="AD50" s="33">
        <f t="shared" si="38"/>
        <v>0.78285957825139718</v>
      </c>
      <c r="AE50" s="33">
        <f t="shared" si="38"/>
        <v>0.7444661570439024</v>
      </c>
      <c r="AF50" s="33">
        <f t="shared" si="38"/>
        <v>0.70488079704050222</v>
      </c>
      <c r="AG50" s="33">
        <f t="shared" si="38"/>
        <v>0.61807272841689809</v>
      </c>
      <c r="AH50" s="33">
        <f t="shared" si="38"/>
        <v>0.59850834109040107</v>
      </c>
      <c r="AI50" s="33">
        <f t="shared" si="38"/>
        <v>0.5985073410904036</v>
      </c>
      <c r="AJ50" s="47">
        <f t="shared" si="9"/>
        <v>0</v>
      </c>
      <c r="AK50" s="47">
        <f t="shared" ref="AK50:BJ50" si="39">AK19-$AJ$19</f>
        <v>0.2332702334235961</v>
      </c>
      <c r="AL50" s="47">
        <f t="shared" si="39"/>
        <v>0.30911351857249514</v>
      </c>
      <c r="AM50" s="47">
        <f t="shared" si="39"/>
        <v>0.43731241516459818</v>
      </c>
      <c r="AN50" s="47">
        <f t="shared" si="39"/>
        <v>0.43731341516459565</v>
      </c>
      <c r="AO50" s="47">
        <f t="shared" si="39"/>
        <v>0.48178131580269934</v>
      </c>
      <c r="AP50" s="47">
        <f t="shared" si="39"/>
        <v>0.48178231580269681</v>
      </c>
      <c r="AQ50" s="47">
        <f t="shared" si="39"/>
        <v>0.49527275460859954</v>
      </c>
      <c r="AR50" s="47">
        <f t="shared" si="39"/>
        <v>0.53970543489249678</v>
      </c>
      <c r="AS50" s="47">
        <f t="shared" si="39"/>
        <v>0.56937753113160028</v>
      </c>
      <c r="AT50" s="47">
        <f t="shared" si="39"/>
        <v>0.5262368522239953</v>
      </c>
      <c r="AU50" s="47">
        <f t="shared" si="39"/>
        <v>0.52267549716239614</v>
      </c>
      <c r="AV50" s="47">
        <f t="shared" si="39"/>
        <v>0.41531625254279447</v>
      </c>
      <c r="AW50" s="47">
        <f t="shared" si="39"/>
        <v>0.39443742308979779</v>
      </c>
      <c r="AX50" s="47">
        <f t="shared" si="39"/>
        <v>0.31642040089829493</v>
      </c>
      <c r="AY50" s="47">
        <f t="shared" si="39"/>
        <v>0.31641940089829745</v>
      </c>
      <c r="AZ50" s="47">
        <f t="shared" si="39"/>
        <v>0.31641840089829998</v>
      </c>
      <c r="BA50" s="47">
        <f t="shared" si="39"/>
        <v>0.31641740089839487</v>
      </c>
      <c r="BB50" s="47">
        <f t="shared" si="39"/>
        <v>0.13002369449579732</v>
      </c>
      <c r="BC50" s="47">
        <f t="shared" si="39"/>
        <v>-1.5591385240199429E-2</v>
      </c>
      <c r="BD50" s="47">
        <f t="shared" si="39"/>
        <v>-0.11082204702719878</v>
      </c>
      <c r="BE50" s="47">
        <f t="shared" si="39"/>
        <v>-0.19890008131470438</v>
      </c>
      <c r="BF50" s="47">
        <f t="shared" si="39"/>
        <v>-0.2502996997274991</v>
      </c>
      <c r="BG50" s="47">
        <f t="shared" si="39"/>
        <v>-0.39217109219820401</v>
      </c>
      <c r="BH50" s="47">
        <f t="shared" si="39"/>
        <v>-0.53309351699440555</v>
      </c>
      <c r="BI50" s="47">
        <f t="shared" si="39"/>
        <v>-0.672807458139701</v>
      </c>
      <c r="BJ50" s="47">
        <f t="shared" si="39"/>
        <v>-0.67280845813969847</v>
      </c>
    </row>
    <row r="51" spans="1:62" x14ac:dyDescent="0.3">
      <c r="A51" s="28">
        <v>15</v>
      </c>
      <c r="B51" s="30">
        <v>37</v>
      </c>
      <c r="C51" s="24">
        <v>16</v>
      </c>
      <c r="D51" s="33">
        <f t="shared" si="11"/>
        <v>0</v>
      </c>
      <c r="E51" s="33">
        <f t="shared" ref="E51:AI51" si="40">E20-$B$20</f>
        <v>0.34106298120150313</v>
      </c>
      <c r="F51" s="33">
        <f t="shared" si="40"/>
        <v>0.5912539988173009</v>
      </c>
      <c r="G51" s="33">
        <f t="shared" si="40"/>
        <v>0.73819924512289958</v>
      </c>
      <c r="H51" s="33">
        <f t="shared" si="40"/>
        <v>1.0236703078942</v>
      </c>
      <c r="I51" s="33">
        <f t="shared" si="40"/>
        <v>1.1380090259997004</v>
      </c>
      <c r="J51" s="33">
        <f t="shared" si="40"/>
        <v>1.2783288191508007</v>
      </c>
      <c r="K51" s="33">
        <f t="shared" si="40"/>
        <v>1.3776281502407031</v>
      </c>
      <c r="L51" s="33">
        <f t="shared" si="40"/>
        <v>1.5234308922800039</v>
      </c>
      <c r="M51" s="33">
        <f t="shared" si="40"/>
        <v>1.5234318922800014</v>
      </c>
      <c r="N51" s="33">
        <f t="shared" si="40"/>
        <v>1.529260135164499</v>
      </c>
      <c r="O51" s="33">
        <f t="shared" si="40"/>
        <v>1.4374015451771029</v>
      </c>
      <c r="P51" s="33">
        <f t="shared" si="40"/>
        <v>1.2743133633846</v>
      </c>
      <c r="Q51" s="33">
        <f t="shared" si="40"/>
        <v>1.2743123633846025</v>
      </c>
      <c r="R51" s="33">
        <f t="shared" si="40"/>
        <v>1.274311363384605</v>
      </c>
      <c r="S51" s="33">
        <f t="shared" si="40"/>
        <v>1.2630576719293032</v>
      </c>
      <c r="T51" s="33">
        <f t="shared" si="40"/>
        <v>1.2630566719293057</v>
      </c>
      <c r="U51" s="33">
        <f t="shared" si="40"/>
        <v>1.2630556719293011</v>
      </c>
      <c r="V51" s="33">
        <f t="shared" si="40"/>
        <v>1.1621113897054016</v>
      </c>
      <c r="W51" s="33">
        <f t="shared" si="40"/>
        <v>1.1138206000385011</v>
      </c>
      <c r="X51" s="33">
        <f t="shared" si="40"/>
        <v>1.0699577586139029</v>
      </c>
      <c r="Y51" s="33">
        <f t="shared" si="40"/>
        <v>1.0131284479148022</v>
      </c>
      <c r="Z51" s="33">
        <f t="shared" si="40"/>
        <v>1.0131274479148047</v>
      </c>
      <c r="AA51" s="33">
        <f t="shared" si="40"/>
        <v>0.96843291023930078</v>
      </c>
      <c r="AB51" s="33">
        <f t="shared" si="40"/>
        <v>0.92921873822820089</v>
      </c>
      <c r="AC51" s="33">
        <f t="shared" si="40"/>
        <v>0.89087535462500256</v>
      </c>
      <c r="AD51" s="33">
        <f t="shared" si="40"/>
        <v>0.84972589809419929</v>
      </c>
      <c r="AE51" s="33">
        <f t="shared" si="40"/>
        <v>0.81123032681450269</v>
      </c>
      <c r="AF51" s="33">
        <f t="shared" si="40"/>
        <v>0.76500159542160162</v>
      </c>
      <c r="AG51" s="33">
        <f t="shared" si="40"/>
        <v>0.67553249131960058</v>
      </c>
      <c r="AH51" s="33">
        <f t="shared" si="40"/>
        <v>0.65600280250470178</v>
      </c>
      <c r="AI51" s="33">
        <f t="shared" si="40"/>
        <v>0.6560018025047043</v>
      </c>
      <c r="AJ51" s="47">
        <f t="shared" si="9"/>
        <v>0</v>
      </c>
      <c r="AK51" s="47">
        <f t="shared" ref="AK51:BJ51" si="41">AK20-$AJ$20</f>
        <v>0.25021022912490309</v>
      </c>
      <c r="AL51" s="47">
        <f t="shared" si="41"/>
        <v>0.33383694454619928</v>
      </c>
      <c r="AM51" s="47">
        <f t="shared" si="41"/>
        <v>0.45559247243710388</v>
      </c>
      <c r="AN51" s="47">
        <f t="shared" si="41"/>
        <v>0.45559347243710135</v>
      </c>
      <c r="AO51" s="47">
        <f t="shared" si="41"/>
        <v>0.50042814754490195</v>
      </c>
      <c r="AP51" s="47">
        <f t="shared" si="41"/>
        <v>0.50042914754489942</v>
      </c>
      <c r="AQ51" s="47">
        <f t="shared" si="41"/>
        <v>0.51430589119280512</v>
      </c>
      <c r="AR51" s="47">
        <f t="shared" si="41"/>
        <v>0.56365612476449911</v>
      </c>
      <c r="AS51" s="47">
        <f t="shared" si="41"/>
        <v>0.59465202524680194</v>
      </c>
      <c r="AT51" s="47">
        <f t="shared" si="41"/>
        <v>0.55811137095459884</v>
      </c>
      <c r="AU51" s="47">
        <f t="shared" si="41"/>
        <v>0.55420951116089867</v>
      </c>
      <c r="AV51" s="47">
        <f t="shared" si="41"/>
        <v>0.44070083319780196</v>
      </c>
      <c r="AW51" s="47">
        <f t="shared" si="41"/>
        <v>0.41572233397700131</v>
      </c>
      <c r="AX51" s="47">
        <f t="shared" si="41"/>
        <v>0.33190907372650003</v>
      </c>
      <c r="AY51" s="47">
        <f t="shared" si="41"/>
        <v>0.33190807372650255</v>
      </c>
      <c r="AZ51" s="47">
        <f t="shared" si="41"/>
        <v>0.33190707372650508</v>
      </c>
      <c r="BA51" s="47">
        <f t="shared" si="41"/>
        <v>0.33190607372650049</v>
      </c>
      <c r="BB51" s="47">
        <f t="shared" si="41"/>
        <v>0.1555194885612039</v>
      </c>
      <c r="BC51" s="47">
        <f t="shared" si="41"/>
        <v>8.8381969299007324E-3</v>
      </c>
      <c r="BD51" s="47">
        <f t="shared" si="41"/>
        <v>-8.9496610911901087E-2</v>
      </c>
      <c r="BE51" s="47">
        <f t="shared" si="41"/>
        <v>-0.1763782020017004</v>
      </c>
      <c r="BF51" s="47">
        <f t="shared" si="41"/>
        <v>-0.22520788221639521</v>
      </c>
      <c r="BG51" s="47">
        <f t="shared" si="41"/>
        <v>-0.37147752610349727</v>
      </c>
      <c r="BH51" s="47">
        <f t="shared" si="41"/>
        <v>-0.50817508055019545</v>
      </c>
      <c r="BI51" s="47">
        <f t="shared" si="41"/>
        <v>-0.64312151790259975</v>
      </c>
      <c r="BJ51" s="47">
        <f t="shared" si="41"/>
        <v>-0.64312251790259722</v>
      </c>
    </row>
    <row r="52" spans="1:62" x14ac:dyDescent="0.3">
      <c r="A52" s="28">
        <v>16</v>
      </c>
      <c r="B52" s="30">
        <v>37.119999999999997</v>
      </c>
      <c r="C52" s="24">
        <v>17</v>
      </c>
      <c r="D52" s="33">
        <f t="shared" si="11"/>
        <v>0</v>
      </c>
      <c r="E52" s="33">
        <f t="shared" ref="E52:AI52" si="42">E21-$B$21</f>
        <v>0.15808797804680097</v>
      </c>
      <c r="F52" s="33">
        <f t="shared" si="42"/>
        <v>0.42372327453680469</v>
      </c>
      <c r="G52" s="33">
        <f t="shared" si="42"/>
        <v>0.5822563720544025</v>
      </c>
      <c r="H52" s="33">
        <f t="shared" si="42"/>
        <v>0.88593051082580132</v>
      </c>
      <c r="I52" s="33">
        <f t="shared" si="42"/>
        <v>1.0584090933424051</v>
      </c>
      <c r="J52" s="33">
        <f t="shared" si="42"/>
        <v>1.2496638635536002</v>
      </c>
      <c r="K52" s="33">
        <f t="shared" si="42"/>
        <v>1.3831775024794055</v>
      </c>
      <c r="L52" s="33">
        <f t="shared" si="42"/>
        <v>1.5637367168661029</v>
      </c>
      <c r="M52" s="33">
        <f t="shared" si="42"/>
        <v>1.5787576834879999</v>
      </c>
      <c r="N52" s="33">
        <f t="shared" si="42"/>
        <v>1.6014093733840014</v>
      </c>
      <c r="O52" s="33">
        <f t="shared" si="42"/>
        <v>1.5096196035539009</v>
      </c>
      <c r="P52" s="33">
        <f t="shared" si="42"/>
        <v>1.3192390598100019</v>
      </c>
      <c r="Q52" s="33">
        <f t="shared" si="42"/>
        <v>1.2907309074314028</v>
      </c>
      <c r="R52" s="33">
        <f t="shared" si="42"/>
        <v>1.2907299074314054</v>
      </c>
      <c r="S52" s="33">
        <f t="shared" si="42"/>
        <v>1.2043914315772</v>
      </c>
      <c r="T52" s="33">
        <f t="shared" si="42"/>
        <v>1.1777363402223031</v>
      </c>
      <c r="U52" s="33">
        <f t="shared" si="42"/>
        <v>1.1749943069240061</v>
      </c>
      <c r="V52" s="33">
        <f t="shared" si="42"/>
        <v>1.0174809200001036</v>
      </c>
      <c r="W52" s="33">
        <f t="shared" si="42"/>
        <v>0.95332754450260637</v>
      </c>
      <c r="X52" s="33">
        <f t="shared" si="42"/>
        <v>0.90184325237750329</v>
      </c>
      <c r="Y52" s="33">
        <f t="shared" si="42"/>
        <v>0.83848025829490069</v>
      </c>
      <c r="Z52" s="33">
        <f t="shared" si="42"/>
        <v>0.83847925829490322</v>
      </c>
      <c r="AA52" s="33">
        <f t="shared" si="42"/>
        <v>0.8003380038898058</v>
      </c>
      <c r="AB52" s="33">
        <f t="shared" si="42"/>
        <v>0.7589349068450062</v>
      </c>
      <c r="AC52" s="33">
        <f t="shared" si="42"/>
        <v>0.71830204994800084</v>
      </c>
      <c r="AD52" s="33">
        <f t="shared" si="42"/>
        <v>0.67920226399340322</v>
      </c>
      <c r="AE52" s="33">
        <f t="shared" si="42"/>
        <v>0.63829589398060449</v>
      </c>
      <c r="AF52" s="33">
        <f t="shared" si="42"/>
        <v>0.59991363963960254</v>
      </c>
      <c r="AG52" s="33">
        <f t="shared" si="42"/>
        <v>0.50969550881420389</v>
      </c>
      <c r="AH52" s="33">
        <f t="shared" si="42"/>
        <v>0.48880699362600666</v>
      </c>
      <c r="AI52" s="33">
        <f t="shared" si="42"/>
        <v>0.48880599362600208</v>
      </c>
      <c r="AJ52" s="47">
        <f t="shared" si="9"/>
        <v>0</v>
      </c>
      <c r="AK52" s="47">
        <f t="shared" ref="AK52:BJ52" si="43">AK21-$AJ$21</f>
        <v>0.14480084416189953</v>
      </c>
      <c r="AL52" s="47">
        <f t="shared" si="43"/>
        <v>0.23611158231820184</v>
      </c>
      <c r="AM52" s="47">
        <f t="shared" si="43"/>
        <v>0.38148206216919789</v>
      </c>
      <c r="AN52" s="47">
        <f t="shared" si="43"/>
        <v>0.38148306216920247</v>
      </c>
      <c r="AO52" s="47">
        <f t="shared" si="43"/>
        <v>0.4894301651884021</v>
      </c>
      <c r="AP52" s="47">
        <f t="shared" si="43"/>
        <v>0.52582505427920267</v>
      </c>
      <c r="AQ52" s="47">
        <f t="shared" si="43"/>
        <v>0.57177455963419987</v>
      </c>
      <c r="AR52" s="47">
        <f t="shared" si="43"/>
        <v>0.63862678984249754</v>
      </c>
      <c r="AS52" s="47">
        <f t="shared" si="43"/>
        <v>0.67619456820369805</v>
      </c>
      <c r="AT52" s="47">
        <f t="shared" si="43"/>
        <v>0.63153173878330193</v>
      </c>
      <c r="AU52" s="47">
        <f t="shared" si="43"/>
        <v>0.60429776160759729</v>
      </c>
      <c r="AV52" s="47">
        <f t="shared" si="43"/>
        <v>0.46140256853170314</v>
      </c>
      <c r="AW52" s="47">
        <f t="shared" si="43"/>
        <v>0.40282243297669851</v>
      </c>
      <c r="AX52" s="47">
        <f t="shared" si="43"/>
        <v>0.28775975613660165</v>
      </c>
      <c r="AY52" s="47">
        <f t="shared" si="43"/>
        <v>0.28775875613659707</v>
      </c>
      <c r="AZ52" s="47">
        <f t="shared" si="43"/>
        <v>0.2877577561365996</v>
      </c>
      <c r="BA52" s="47">
        <f t="shared" si="43"/>
        <v>0.23874206777180262</v>
      </c>
      <c r="BB52" s="47">
        <f t="shared" si="43"/>
        <v>5.0676788635399816E-2</v>
      </c>
      <c r="BC52" s="47">
        <f t="shared" si="43"/>
        <v>-0.12149033327040115</v>
      </c>
      <c r="BD52" s="47">
        <f t="shared" si="43"/>
        <v>-0.22332111049470171</v>
      </c>
      <c r="BE52" s="47">
        <f t="shared" si="43"/>
        <v>-0.3105869874955971</v>
      </c>
      <c r="BF52" s="47">
        <f t="shared" si="43"/>
        <v>-0.35969631023880311</v>
      </c>
      <c r="BG52" s="47">
        <f t="shared" si="43"/>
        <v>-0.51552004476540247</v>
      </c>
      <c r="BH52" s="47">
        <f t="shared" si="43"/>
        <v>-0.65318008800870331</v>
      </c>
      <c r="BI52" s="47">
        <f t="shared" si="43"/>
        <v>-0.79324547706149673</v>
      </c>
      <c r="BJ52" s="47">
        <f t="shared" si="43"/>
        <v>-0.79324647706150131</v>
      </c>
    </row>
    <row r="53" spans="1:62" x14ac:dyDescent="0.3">
      <c r="A53" s="28">
        <v>17</v>
      </c>
      <c r="B53" s="30">
        <v>37.229999999999997</v>
      </c>
      <c r="C53" s="24">
        <v>18</v>
      </c>
      <c r="D53" s="33">
        <f t="shared" si="11"/>
        <v>0</v>
      </c>
      <c r="E53" s="33">
        <f t="shared" ref="E53:AI53" si="44">E22-$B$22</f>
        <v>0.20017041407599834</v>
      </c>
      <c r="F53" s="33">
        <f t="shared" si="44"/>
        <v>0.46611394877079704</v>
      </c>
      <c r="G53" s="33">
        <f t="shared" si="44"/>
        <v>0.62626946082319535</v>
      </c>
      <c r="H53" s="33">
        <f t="shared" si="44"/>
        <v>0.92302451696009769</v>
      </c>
      <c r="I53" s="33">
        <f t="shared" si="44"/>
        <v>1.0622356566298947</v>
      </c>
      <c r="J53" s="33">
        <f t="shared" si="44"/>
        <v>1.2251388738121989</v>
      </c>
      <c r="K53" s="33">
        <f t="shared" si="44"/>
        <v>1.3531510758309011</v>
      </c>
      <c r="L53" s="33">
        <f t="shared" si="44"/>
        <v>1.5251715322812984</v>
      </c>
      <c r="M53" s="33">
        <f t="shared" si="44"/>
        <v>1.5334252619003976</v>
      </c>
      <c r="N53" s="33">
        <f t="shared" si="44"/>
        <v>1.5536770492252003</v>
      </c>
      <c r="O53" s="33">
        <f t="shared" si="44"/>
        <v>1.4743870686626011</v>
      </c>
      <c r="P53" s="33">
        <f t="shared" si="44"/>
        <v>1.2837622587232005</v>
      </c>
      <c r="Q53" s="33">
        <f t="shared" si="44"/>
        <v>1.2651979156496012</v>
      </c>
      <c r="R53" s="33">
        <f t="shared" si="44"/>
        <v>1.2651969156495966</v>
      </c>
      <c r="S53" s="33">
        <f t="shared" si="44"/>
        <v>1.1969344952843954</v>
      </c>
      <c r="T53" s="33">
        <f t="shared" si="44"/>
        <v>1.178322036931398</v>
      </c>
      <c r="U53" s="33">
        <f t="shared" si="44"/>
        <v>1.1783210369314006</v>
      </c>
      <c r="V53" s="33">
        <f t="shared" si="44"/>
        <v>1.0415804123971952</v>
      </c>
      <c r="W53" s="33">
        <f t="shared" si="44"/>
        <v>0.97857103748639673</v>
      </c>
      <c r="X53" s="33">
        <f t="shared" si="44"/>
        <v>0.92828992269240018</v>
      </c>
      <c r="Y53" s="33">
        <f t="shared" si="44"/>
        <v>0.8670485257023941</v>
      </c>
      <c r="Z53" s="33">
        <f t="shared" si="44"/>
        <v>0.86704752570239663</v>
      </c>
      <c r="AA53" s="33">
        <f t="shared" si="44"/>
        <v>0.82877932267290078</v>
      </c>
      <c r="AB53" s="33">
        <f t="shared" si="44"/>
        <v>0.78939389473989507</v>
      </c>
      <c r="AC53" s="33">
        <f t="shared" si="44"/>
        <v>0.74896583357379853</v>
      </c>
      <c r="AD53" s="33">
        <f t="shared" si="44"/>
        <v>0.70953242133469985</v>
      </c>
      <c r="AE53" s="33">
        <f t="shared" si="44"/>
        <v>0.6710862532238977</v>
      </c>
      <c r="AF53" s="33">
        <f t="shared" si="44"/>
        <v>0.63173567914439843</v>
      </c>
      <c r="AG53" s="33">
        <f t="shared" si="44"/>
        <v>0.54157005375989797</v>
      </c>
      <c r="AH53" s="33">
        <f t="shared" si="44"/>
        <v>0.52212510441889748</v>
      </c>
      <c r="AI53" s="33">
        <f t="shared" si="44"/>
        <v>0.5221241044189</v>
      </c>
      <c r="AJ53" s="47">
        <f t="shared" si="9"/>
        <v>0</v>
      </c>
      <c r="AK53" s="47">
        <f t="shared" ref="AK53:BJ53" si="45">AK22-$AJ$22</f>
        <v>0.15994039850300368</v>
      </c>
      <c r="AL53" s="47">
        <f t="shared" si="45"/>
        <v>0.25026983134480218</v>
      </c>
      <c r="AM53" s="47">
        <f t="shared" si="45"/>
        <v>0.39886830646920401</v>
      </c>
      <c r="AN53" s="47">
        <f t="shared" si="45"/>
        <v>0.39886930646920149</v>
      </c>
      <c r="AO53" s="47">
        <f t="shared" si="45"/>
        <v>0.50945213630750175</v>
      </c>
      <c r="AP53" s="47">
        <f t="shared" si="45"/>
        <v>0.54641997135190223</v>
      </c>
      <c r="AQ53" s="47">
        <f t="shared" si="45"/>
        <v>0.59250520256150452</v>
      </c>
      <c r="AR53" s="47">
        <f t="shared" si="45"/>
        <v>0.6679115875871986</v>
      </c>
      <c r="AS53" s="47">
        <f t="shared" si="45"/>
        <v>0.70833707189979833</v>
      </c>
      <c r="AT53" s="47">
        <f t="shared" si="45"/>
        <v>0.66216048613929956</v>
      </c>
      <c r="AU53" s="47">
        <f t="shared" si="45"/>
        <v>0.63416302555250326</v>
      </c>
      <c r="AV53" s="47">
        <f t="shared" si="45"/>
        <v>0.48300059633330505</v>
      </c>
      <c r="AW53" s="47">
        <f t="shared" si="45"/>
        <v>0.42479691370500205</v>
      </c>
      <c r="AX53" s="47">
        <f t="shared" si="45"/>
        <v>0.30654001731710423</v>
      </c>
      <c r="AY53" s="47">
        <f t="shared" si="45"/>
        <v>0.30653901731709965</v>
      </c>
      <c r="AZ53" s="47">
        <f t="shared" si="45"/>
        <v>0.30653801731710217</v>
      </c>
      <c r="BA53" s="47">
        <f t="shared" si="45"/>
        <v>0.25154145545110396</v>
      </c>
      <c r="BB53" s="47">
        <f t="shared" si="45"/>
        <v>6.2244387903803045E-2</v>
      </c>
      <c r="BC53" s="47">
        <f t="shared" si="45"/>
        <v>-8.5309594864796168E-2</v>
      </c>
      <c r="BD53" s="47">
        <f t="shared" si="45"/>
        <v>-0.18717971260729627</v>
      </c>
      <c r="BE53" s="47">
        <f t="shared" si="45"/>
        <v>-0.27850306085339582</v>
      </c>
      <c r="BF53" s="47">
        <f t="shared" si="45"/>
        <v>-0.32716590527149947</v>
      </c>
      <c r="BG53" s="47">
        <f t="shared" si="45"/>
        <v>-0.47946344897179927</v>
      </c>
      <c r="BH53" s="47">
        <f t="shared" si="45"/>
        <v>-0.6297679652032997</v>
      </c>
      <c r="BI53" s="47">
        <f t="shared" si="45"/>
        <v>-0.76260868654799907</v>
      </c>
      <c r="BJ53" s="47">
        <f t="shared" si="45"/>
        <v>-0.76260968654799655</v>
      </c>
    </row>
    <row r="54" spans="1:62" x14ac:dyDescent="0.3">
      <c r="A54" s="28">
        <v>18</v>
      </c>
      <c r="B54" s="30">
        <v>37.01</v>
      </c>
      <c r="C54" s="24">
        <v>19</v>
      </c>
      <c r="D54" s="33">
        <f t="shared" si="11"/>
        <v>0</v>
      </c>
      <c r="E54" s="33">
        <f t="shared" ref="E54:AI54" si="46">E23-$B$23</f>
        <v>0.18862430951769937</v>
      </c>
      <c r="F54" s="33">
        <f t="shared" si="46"/>
        <v>0.46945995610310121</v>
      </c>
      <c r="G54" s="33">
        <f t="shared" si="46"/>
        <v>0.62589678056620102</v>
      </c>
      <c r="H54" s="33">
        <f t="shared" si="46"/>
        <v>0.93682274810160493</v>
      </c>
      <c r="I54" s="33">
        <f t="shared" si="46"/>
        <v>1.0919929296226982</v>
      </c>
      <c r="J54" s="33">
        <f t="shared" si="46"/>
        <v>1.2823065893526007</v>
      </c>
      <c r="K54" s="33">
        <f t="shared" si="46"/>
        <v>1.4123190717064986</v>
      </c>
      <c r="L54" s="33">
        <f t="shared" si="46"/>
        <v>1.5916534314988979</v>
      </c>
      <c r="M54" s="33">
        <f t="shared" si="46"/>
        <v>1.6057168712546002</v>
      </c>
      <c r="N54" s="33">
        <f t="shared" si="46"/>
        <v>1.627773205917002</v>
      </c>
      <c r="O54" s="33">
        <f t="shared" si="46"/>
        <v>1.549146834451399</v>
      </c>
      <c r="P54" s="33">
        <f t="shared" si="46"/>
        <v>1.363907486031998</v>
      </c>
      <c r="Q54" s="33">
        <f t="shared" si="46"/>
        <v>1.3396435234909987</v>
      </c>
      <c r="R54" s="33">
        <f t="shared" si="46"/>
        <v>1.3396425234910012</v>
      </c>
      <c r="S54" s="33">
        <f t="shared" si="46"/>
        <v>1.2595748705401988</v>
      </c>
      <c r="T54" s="33">
        <f t="shared" si="46"/>
        <v>1.2355562425426001</v>
      </c>
      <c r="U54" s="33">
        <f t="shared" si="46"/>
        <v>1.2348375086891039</v>
      </c>
      <c r="V54" s="33">
        <f t="shared" si="46"/>
        <v>1.0923820501844048</v>
      </c>
      <c r="W54" s="33">
        <f t="shared" si="46"/>
        <v>1.0305256443660014</v>
      </c>
      <c r="X54" s="33">
        <f t="shared" si="46"/>
        <v>0.98109080403540361</v>
      </c>
      <c r="Y54" s="33">
        <f t="shared" si="46"/>
        <v>0.92223240972739973</v>
      </c>
      <c r="Z54" s="33">
        <f t="shared" si="46"/>
        <v>0.92223140972740225</v>
      </c>
      <c r="AA54" s="33">
        <f t="shared" si="46"/>
        <v>0.88101224527019895</v>
      </c>
      <c r="AB54" s="33">
        <f t="shared" si="46"/>
        <v>0.84201244846229883</v>
      </c>
      <c r="AC54" s="33">
        <f t="shared" si="46"/>
        <v>0.80302505032850036</v>
      </c>
      <c r="AD54" s="33">
        <f t="shared" si="46"/>
        <v>0.76295709830780112</v>
      </c>
      <c r="AE54" s="33">
        <f t="shared" si="46"/>
        <v>0.72373788869690259</v>
      </c>
      <c r="AF54" s="33">
        <f t="shared" si="46"/>
        <v>0.68423639690320215</v>
      </c>
      <c r="AG54" s="33">
        <f t="shared" si="46"/>
        <v>0.5967094281529981</v>
      </c>
      <c r="AH54" s="33">
        <f t="shared" si="46"/>
        <v>0.57737271131300361</v>
      </c>
      <c r="AI54" s="33">
        <f t="shared" si="46"/>
        <v>0.57737171131299903</v>
      </c>
      <c r="AJ54" s="47">
        <f t="shared" si="9"/>
        <v>0</v>
      </c>
      <c r="AK54" s="47">
        <f t="shared" ref="AK54:BJ54" si="47">AK23-$AJ$23</f>
        <v>0.19662930338230211</v>
      </c>
      <c r="AL54" s="47">
        <f t="shared" si="47"/>
        <v>0.27896418862010108</v>
      </c>
      <c r="AM54" s="47">
        <f t="shared" si="47"/>
        <v>0.41004844071050428</v>
      </c>
      <c r="AN54" s="47">
        <f t="shared" si="47"/>
        <v>0.41004944071050176</v>
      </c>
      <c r="AO54" s="47">
        <f t="shared" si="47"/>
        <v>0.48657301224240257</v>
      </c>
      <c r="AP54" s="47">
        <f t="shared" si="47"/>
        <v>0.505470835828703</v>
      </c>
      <c r="AQ54" s="47">
        <f t="shared" si="47"/>
        <v>0.53515037003640487</v>
      </c>
      <c r="AR54" s="47">
        <f t="shared" si="47"/>
        <v>0.59992090638410644</v>
      </c>
      <c r="AS54" s="47">
        <f t="shared" si="47"/>
        <v>0.6318128900977058</v>
      </c>
      <c r="AT54" s="47">
        <f t="shared" si="47"/>
        <v>0.58867626012120411</v>
      </c>
      <c r="AU54" s="47">
        <f t="shared" si="47"/>
        <v>0.57222668521380626</v>
      </c>
      <c r="AV54" s="47">
        <f t="shared" si="47"/>
        <v>0.44574908646120548</v>
      </c>
      <c r="AW54" s="47">
        <f t="shared" si="47"/>
        <v>0.40380580788120568</v>
      </c>
      <c r="AX54" s="47">
        <f t="shared" si="47"/>
        <v>0.29986496418840147</v>
      </c>
      <c r="AY54" s="47">
        <f t="shared" si="47"/>
        <v>0.299863964188404</v>
      </c>
      <c r="AZ54" s="47">
        <f t="shared" si="47"/>
        <v>0.29986296418840652</v>
      </c>
      <c r="BA54" s="47">
        <f t="shared" si="47"/>
        <v>0.27916871235750307</v>
      </c>
      <c r="BB54" s="47">
        <f t="shared" si="47"/>
        <v>9.5356911548506673E-2</v>
      </c>
      <c r="BC54" s="47">
        <f t="shared" si="47"/>
        <v>-4.9984340084499479E-2</v>
      </c>
      <c r="BD54" s="47">
        <f t="shared" si="47"/>
        <v>-0.14796980690659467</v>
      </c>
      <c r="BE54" s="47">
        <f t="shared" si="47"/>
        <v>-0.23780189500489968</v>
      </c>
      <c r="BF54" s="47">
        <f t="shared" si="47"/>
        <v>-0.28702150795889736</v>
      </c>
      <c r="BG54" s="47">
        <f t="shared" si="47"/>
        <v>-0.43568071178849976</v>
      </c>
      <c r="BH54" s="47">
        <f t="shared" si="47"/>
        <v>-0.57217398930619368</v>
      </c>
      <c r="BI54" s="47">
        <f t="shared" si="47"/>
        <v>-0.71278253478189413</v>
      </c>
      <c r="BJ54" s="47">
        <f t="shared" si="47"/>
        <v>-0.71278353478189871</v>
      </c>
    </row>
    <row r="55" spans="1:62" x14ac:dyDescent="0.3">
      <c r="A55" s="28">
        <v>19</v>
      </c>
      <c r="B55" s="30">
        <v>37.46</v>
      </c>
      <c r="C55" s="24">
        <v>20</v>
      </c>
      <c r="D55" s="33">
        <f t="shared" si="11"/>
        <v>0</v>
      </c>
      <c r="E55" s="33">
        <f t="shared" ref="E55:AI55" si="48">E24-$B$24</f>
        <v>0.34493051062329982</v>
      </c>
      <c r="F55" s="33">
        <f t="shared" si="48"/>
        <v>0.60056644002079906</v>
      </c>
      <c r="G55" s="33">
        <f t="shared" si="48"/>
        <v>0.74399796568359733</v>
      </c>
      <c r="H55" s="33">
        <f t="shared" si="48"/>
        <v>1.0284674879800946</v>
      </c>
      <c r="I55" s="33">
        <f t="shared" si="48"/>
        <v>1.1454808064622952</v>
      </c>
      <c r="J55" s="33">
        <f t="shared" si="48"/>
        <v>1.3048263229190979</v>
      </c>
      <c r="K55" s="33">
        <f t="shared" si="48"/>
        <v>1.408071096291998</v>
      </c>
      <c r="L55" s="33">
        <f t="shared" si="48"/>
        <v>1.5645290753721</v>
      </c>
      <c r="M55" s="33">
        <f t="shared" si="48"/>
        <v>1.5645300753720974</v>
      </c>
      <c r="N55" s="33">
        <f t="shared" si="48"/>
        <v>1.5691004704655001</v>
      </c>
      <c r="O55" s="33">
        <f t="shared" si="48"/>
        <v>1.5001848663111943</v>
      </c>
      <c r="P55" s="33">
        <f t="shared" si="48"/>
        <v>1.3082800617115993</v>
      </c>
      <c r="Q55" s="33">
        <f t="shared" si="48"/>
        <v>1.3082790617115947</v>
      </c>
      <c r="R55" s="33">
        <f t="shared" si="48"/>
        <v>1.3082780617115972</v>
      </c>
      <c r="S55" s="33">
        <f t="shared" si="48"/>
        <v>1.3079636235011947</v>
      </c>
      <c r="T55" s="33">
        <f t="shared" si="48"/>
        <v>1.3079626235011972</v>
      </c>
      <c r="U55" s="33">
        <f t="shared" si="48"/>
        <v>1.3079616235011997</v>
      </c>
      <c r="V55" s="33">
        <f t="shared" si="48"/>
        <v>1.2085433848004996</v>
      </c>
      <c r="W55" s="33">
        <f t="shared" si="48"/>
        <v>1.1499985960109953</v>
      </c>
      <c r="X55" s="33">
        <f t="shared" si="48"/>
        <v>1.1046852444241964</v>
      </c>
      <c r="Y55" s="33">
        <f t="shared" si="48"/>
        <v>1.0470932817051946</v>
      </c>
      <c r="Z55" s="33">
        <f t="shared" si="48"/>
        <v>1.0470922817052966</v>
      </c>
      <c r="AA55" s="33">
        <f t="shared" si="48"/>
        <v>1.0102991565408956</v>
      </c>
      <c r="AB55" s="33">
        <f t="shared" si="48"/>
        <v>0.97311128535909575</v>
      </c>
      <c r="AC55" s="33">
        <f t="shared" si="48"/>
        <v>0.93416887133189874</v>
      </c>
      <c r="AD55" s="33">
        <f t="shared" si="48"/>
        <v>0.89371715428559639</v>
      </c>
      <c r="AE55" s="33">
        <f t="shared" si="48"/>
        <v>0.8506025639927941</v>
      </c>
      <c r="AF55" s="33">
        <f t="shared" si="48"/>
        <v>0.81182762395889796</v>
      </c>
      <c r="AG55" s="33">
        <f t="shared" si="48"/>
        <v>0.72335640120120104</v>
      </c>
      <c r="AH55" s="33">
        <f t="shared" si="48"/>
        <v>0.70277222325799471</v>
      </c>
      <c r="AI55" s="33">
        <f t="shared" si="48"/>
        <v>0.70277122325799724</v>
      </c>
      <c r="AJ55" s="47">
        <f t="shared" si="9"/>
        <v>0</v>
      </c>
      <c r="AK55" s="47">
        <f t="shared" ref="AK55:BJ55" si="49">AK24-$AJ$24</f>
        <v>0.21114963844859602</v>
      </c>
      <c r="AL55" s="47">
        <f t="shared" si="49"/>
        <v>0.289636490781497</v>
      </c>
      <c r="AM55" s="47">
        <f t="shared" si="49"/>
        <v>0.4192349260505992</v>
      </c>
      <c r="AN55" s="47">
        <f t="shared" si="49"/>
        <v>0.41923592605059667</v>
      </c>
      <c r="AO55" s="47">
        <f t="shared" si="49"/>
        <v>0.48095840578280047</v>
      </c>
      <c r="AP55" s="47">
        <f t="shared" si="49"/>
        <v>0.49107271691740095</v>
      </c>
      <c r="AQ55" s="47">
        <f t="shared" si="49"/>
        <v>0.5132277539559027</v>
      </c>
      <c r="AR55" s="47">
        <f t="shared" si="49"/>
        <v>0.56467855854929638</v>
      </c>
      <c r="AS55" s="47">
        <f t="shared" si="49"/>
        <v>0.59459391700839603</v>
      </c>
      <c r="AT55" s="47">
        <f t="shared" si="49"/>
        <v>0.55396004154120249</v>
      </c>
      <c r="AU55" s="47">
        <f t="shared" si="49"/>
        <v>0.54357985741229697</v>
      </c>
      <c r="AV55" s="47">
        <f t="shared" si="49"/>
        <v>0.4264918568230982</v>
      </c>
      <c r="AW55" s="47">
        <f t="shared" si="49"/>
        <v>0.39450662117410218</v>
      </c>
      <c r="AX55" s="47">
        <f t="shared" si="49"/>
        <v>0.29819988938950104</v>
      </c>
      <c r="AY55" s="47">
        <f t="shared" si="49"/>
        <v>0.29819888938949646</v>
      </c>
      <c r="AZ55" s="47">
        <f t="shared" si="49"/>
        <v>0.29819788938949898</v>
      </c>
      <c r="BA55" s="47">
        <f t="shared" si="49"/>
        <v>0.29407012056280024</v>
      </c>
      <c r="BB55" s="47">
        <f t="shared" si="49"/>
        <v>0.10654973322120043</v>
      </c>
      <c r="BC55" s="47">
        <f t="shared" si="49"/>
        <v>-4.3430914624202899E-2</v>
      </c>
      <c r="BD55" s="47">
        <f t="shared" si="49"/>
        <v>-0.14566870545920096</v>
      </c>
      <c r="BE55" s="47">
        <f t="shared" si="49"/>
        <v>-0.23213347193750167</v>
      </c>
      <c r="BF55" s="47">
        <f t="shared" si="49"/>
        <v>-0.28261924852870379</v>
      </c>
      <c r="BG55" s="47">
        <f t="shared" si="49"/>
        <v>-0.42815919641080313</v>
      </c>
      <c r="BH55" s="47">
        <f t="shared" si="49"/>
        <v>-0.56857274868109897</v>
      </c>
      <c r="BI55" s="47">
        <f t="shared" si="49"/>
        <v>-0.71281110202600217</v>
      </c>
      <c r="BJ55" s="47">
        <f t="shared" si="49"/>
        <v>-0.71281210202599965</v>
      </c>
    </row>
    <row r="56" spans="1:62" x14ac:dyDescent="0.3">
      <c r="A56" s="28">
        <v>20</v>
      </c>
      <c r="B56" s="30">
        <v>36.65</v>
      </c>
      <c r="C56" s="50">
        <v>21</v>
      </c>
      <c r="D56" s="33">
        <f t="shared" si="11"/>
        <v>0</v>
      </c>
      <c r="E56" s="33">
        <f t="shared" ref="E56:AI56" si="50">E25-$B$25</f>
        <v>6.6711489226797482E-2</v>
      </c>
      <c r="F56" s="33">
        <f t="shared" si="50"/>
        <v>0.33547568935559724</v>
      </c>
      <c r="G56" s="33">
        <f t="shared" si="50"/>
        <v>0.50073013986310144</v>
      </c>
      <c r="H56" s="33">
        <f t="shared" si="50"/>
        <v>0.81598896702769963</v>
      </c>
      <c r="I56" s="33">
        <f t="shared" si="50"/>
        <v>0.97771937574390222</v>
      </c>
      <c r="J56" s="33">
        <f t="shared" si="50"/>
        <v>1.1715359559953029</v>
      </c>
      <c r="K56" s="33">
        <f t="shared" si="50"/>
        <v>1.3217136506098015</v>
      </c>
      <c r="L56" s="33">
        <f t="shared" si="50"/>
        <v>1.5339729645227038</v>
      </c>
      <c r="M56" s="33">
        <f t="shared" si="50"/>
        <v>1.5602868127402019</v>
      </c>
      <c r="N56" s="33">
        <f t="shared" si="50"/>
        <v>1.5873282520784997</v>
      </c>
      <c r="O56" s="33">
        <f t="shared" si="50"/>
        <v>1.4938286777491996</v>
      </c>
      <c r="P56" s="33">
        <f t="shared" si="50"/>
        <v>1.2617260685701979</v>
      </c>
      <c r="Q56" s="33">
        <f t="shared" si="50"/>
        <v>1.2194466694323012</v>
      </c>
      <c r="R56" s="33">
        <f t="shared" si="50"/>
        <v>1.2194456694323037</v>
      </c>
      <c r="S56" s="33">
        <f t="shared" si="50"/>
        <v>1.0958069677153972</v>
      </c>
      <c r="T56" s="33">
        <f t="shared" si="50"/>
        <v>1.0540418216548986</v>
      </c>
      <c r="U56" s="33">
        <f t="shared" si="50"/>
        <v>1.0396508952156012</v>
      </c>
      <c r="V56" s="33">
        <f t="shared" si="50"/>
        <v>0.8726155109223015</v>
      </c>
      <c r="W56" s="33">
        <f t="shared" si="50"/>
        <v>0.8023284178918999</v>
      </c>
      <c r="X56" s="33">
        <f t="shared" si="50"/>
        <v>0.74821944559270293</v>
      </c>
      <c r="Y56" s="33">
        <f t="shared" si="50"/>
        <v>0.68690774140979727</v>
      </c>
      <c r="Z56" s="33">
        <f t="shared" si="50"/>
        <v>0.68690674140979979</v>
      </c>
      <c r="AA56" s="33">
        <f t="shared" si="50"/>
        <v>0.63554978972970133</v>
      </c>
      <c r="AB56" s="33">
        <f t="shared" si="50"/>
        <v>0.59327390269039881</v>
      </c>
      <c r="AC56" s="33">
        <f t="shared" si="50"/>
        <v>0.55481063098829964</v>
      </c>
      <c r="AD56" s="33">
        <f t="shared" si="50"/>
        <v>0.51444186007019965</v>
      </c>
      <c r="AE56" s="33">
        <f t="shared" si="50"/>
        <v>0.47223451228430235</v>
      </c>
      <c r="AF56" s="33">
        <f t="shared" si="50"/>
        <v>0.43352021309190292</v>
      </c>
      <c r="AG56" s="33">
        <f t="shared" si="50"/>
        <v>0.34477396679130123</v>
      </c>
      <c r="AH56" s="33">
        <f t="shared" si="50"/>
        <v>0.32539414428359947</v>
      </c>
      <c r="AI56" s="33">
        <f t="shared" si="50"/>
        <v>0.325393144283602</v>
      </c>
      <c r="AJ56" s="47">
        <f t="shared" si="9"/>
        <v>0</v>
      </c>
      <c r="AK56" s="47">
        <f t="shared" ref="AK56:BJ56" si="51">AK25-$AJ$25</f>
        <v>0.19409807412680635</v>
      </c>
      <c r="AL56" s="47">
        <f t="shared" si="51"/>
        <v>0.27539076139030527</v>
      </c>
      <c r="AM56" s="47">
        <f t="shared" si="51"/>
        <v>0.40388705891760424</v>
      </c>
      <c r="AN56" s="47">
        <f t="shared" si="51"/>
        <v>0.40388805891760171</v>
      </c>
      <c r="AO56" s="47">
        <f t="shared" si="51"/>
        <v>0.47470663135810298</v>
      </c>
      <c r="AP56" s="47">
        <f t="shared" si="51"/>
        <v>0.48981234725210498</v>
      </c>
      <c r="AQ56" s="47">
        <f t="shared" si="51"/>
        <v>0.51554855410970646</v>
      </c>
      <c r="AR56" s="47">
        <f t="shared" si="51"/>
        <v>0.57178226709190483</v>
      </c>
      <c r="AS56" s="47">
        <f t="shared" si="51"/>
        <v>0.60601498880960492</v>
      </c>
      <c r="AT56" s="47">
        <f t="shared" si="51"/>
        <v>0.56311786997220281</v>
      </c>
      <c r="AU56" s="47">
        <f t="shared" si="51"/>
        <v>0.54980205411940375</v>
      </c>
      <c r="AV56" s="47">
        <f t="shared" si="51"/>
        <v>0.42828819537230345</v>
      </c>
      <c r="AW56" s="47">
        <f t="shared" si="51"/>
        <v>0.39246810884480254</v>
      </c>
      <c r="AX56" s="47">
        <f t="shared" si="51"/>
        <v>0.29659747257880298</v>
      </c>
      <c r="AY56" s="47">
        <f t="shared" si="51"/>
        <v>0.2965964725788055</v>
      </c>
      <c r="AZ56" s="47">
        <f t="shared" si="51"/>
        <v>0.2965954725789004</v>
      </c>
      <c r="BA56" s="47">
        <f t="shared" si="51"/>
        <v>0.28137186404210013</v>
      </c>
      <c r="BB56" s="47">
        <f t="shared" si="51"/>
        <v>9.5185007892403917E-2</v>
      </c>
      <c r="BC56" s="47">
        <f t="shared" si="51"/>
        <v>-4.976702747879358E-2</v>
      </c>
      <c r="BD56" s="47">
        <f t="shared" si="51"/>
        <v>-0.1473119030908947</v>
      </c>
      <c r="BE56" s="47">
        <f t="shared" si="51"/>
        <v>-0.24039537720689452</v>
      </c>
      <c r="BF56" s="47">
        <f t="shared" si="51"/>
        <v>-0.29006333966659525</v>
      </c>
      <c r="BG56" s="47">
        <f t="shared" si="51"/>
        <v>-0.43713205453889969</v>
      </c>
      <c r="BH56" s="47">
        <f t="shared" si="51"/>
        <v>-0.57349577546149533</v>
      </c>
      <c r="BI56" s="47">
        <f t="shared" si="51"/>
        <v>-0.70895965509659931</v>
      </c>
      <c r="BJ56" s="47">
        <f t="shared" si="51"/>
        <v>-0.70896065509659678</v>
      </c>
    </row>
    <row r="57" spans="1:62" x14ac:dyDescent="0.3">
      <c r="A57" s="28">
        <v>21</v>
      </c>
      <c r="B57" s="30">
        <v>37.450000000000003</v>
      </c>
      <c r="C57" s="42" t="s">
        <v>35</v>
      </c>
      <c r="D57" s="41">
        <f>AVERAGE(D36:D56)</f>
        <v>0</v>
      </c>
      <c r="E57" s="41">
        <f t="shared" ref="E57:O57" si="52">AVERAGE(E36:E56)</f>
        <v>0.21999999999999073</v>
      </c>
      <c r="F57" s="41">
        <f t="shared" si="52"/>
        <v>0.49000000000001009</v>
      </c>
      <c r="G57" s="41">
        <f t="shared" si="52"/>
        <v>0.64999999999999047</v>
      </c>
      <c r="H57" s="41">
        <f t="shared" si="52"/>
        <v>0.96000000000000085</v>
      </c>
      <c r="I57" s="41">
        <f t="shared" si="52"/>
        <v>1.1000000000000052</v>
      </c>
      <c r="J57" s="41">
        <f t="shared" si="52"/>
        <v>1.269999999999996</v>
      </c>
      <c r="K57" s="41">
        <f t="shared" si="52"/>
        <v>1.400000000000001</v>
      </c>
      <c r="L57" s="41">
        <f t="shared" si="52"/>
        <v>1.5800000000000149</v>
      </c>
      <c r="M57" s="41">
        <f t="shared" si="52"/>
        <v>1.5901855362521384</v>
      </c>
      <c r="N57" s="41">
        <f t="shared" si="52"/>
        <v>1.6100000000000059</v>
      </c>
      <c r="O57" s="41">
        <f t="shared" si="52"/>
        <v>1.5563622074453818</v>
      </c>
      <c r="P57" s="41">
        <f t="shared" ref="P57" si="53">AVERAGE(P36:P56)</f>
        <v>1.3400000000000007</v>
      </c>
      <c r="Q57" s="41">
        <f t="shared" ref="Q57" si="54">AVERAGE(Q36:Q56)</f>
        <v>1.319845695073691</v>
      </c>
      <c r="R57" s="41">
        <f t="shared" ref="R57" si="55">AVERAGE(R36:R56)</f>
        <v>1.3198446950736962</v>
      </c>
      <c r="S57" s="41">
        <f t="shared" ref="S57" si="56">AVERAGE(S36:S56)</f>
        <v>1.2499913228733146</v>
      </c>
      <c r="T57" s="41">
        <f t="shared" ref="T57" si="57">AVERAGE(T36:T56)</f>
        <v>1.2298547643017814</v>
      </c>
      <c r="U57" s="41">
        <f t="shared" ref="U57" si="58">AVERAGE(U36:U56)</f>
        <v>1.2271528411935919</v>
      </c>
      <c r="V57" s="41">
        <f t="shared" ref="V57" si="59">AVERAGE(V36:V56)</f>
        <v>1.089999999999991</v>
      </c>
      <c r="W57" s="41">
        <f t="shared" ref="W57" si="60">AVERAGE(W36:W56)</f>
        <v>1.0299999999999858</v>
      </c>
      <c r="X57" s="41">
        <f t="shared" ref="X57" si="61">AVERAGE(X36:X56)</f>
        <v>0.98000000000000975</v>
      </c>
      <c r="Y57" s="41">
        <f t="shared" ref="Y57" si="62">AVERAGE(Y36:Y56)</f>
        <v>0.9199999999999946</v>
      </c>
      <c r="Z57" s="41">
        <f t="shared" ref="Z57" si="63">AVERAGE(Z36:Z56)</f>
        <v>0.91999900000000046</v>
      </c>
      <c r="AA57" s="41">
        <f t="shared" ref="AA57" si="64">AVERAGE(AA36:AA56)</f>
        <v>0.88000000000000156</v>
      </c>
      <c r="AB57" s="41">
        <f t="shared" ref="AB57" si="65">AVERAGE(AB36:AB56)</f>
        <v>0.83999999999999531</v>
      </c>
      <c r="AC57" s="41">
        <f t="shared" ref="AC57" si="66">AVERAGE(AC36:AC56)</f>
        <v>0.79999999999999172</v>
      </c>
      <c r="AD57" s="41">
        <f t="shared" ref="AD57" si="67">AVERAGE(AD36:AD56)</f>
        <v>0.75999999999999568</v>
      </c>
      <c r="AE57" s="41">
        <f t="shared" ref="AE57" si="68">AVERAGE(AE36:AE56)</f>
        <v>0.71999999999998665</v>
      </c>
      <c r="AF57" s="41">
        <f t="shared" ref="AF57" si="69">AVERAGE(AF36:AF56)</f>
        <v>0.68000000000001015</v>
      </c>
      <c r="AG57" s="41">
        <f t="shared" ref="AG57" si="70">AVERAGE(AG36:AG56)</f>
        <v>0.59000000000000075</v>
      </c>
      <c r="AH57" s="41">
        <f t="shared" ref="AH57" si="71">AVERAGE(AH36:AH56)</f>
        <v>0.57000000000000062</v>
      </c>
      <c r="AI57" s="41">
        <f t="shared" ref="AI57" si="72">AVERAGE(AI36:AI56)</f>
        <v>0.56999900000000081</v>
      </c>
      <c r="AJ57" s="46">
        <f t="shared" ref="AJ57" si="73">AVERAGE(AJ36:AJ56)</f>
        <v>0</v>
      </c>
      <c r="AK57" s="46">
        <f t="shared" ref="AK57" si="74">AVERAGE(AK36:AK56)</f>
        <v>0.22341667000000598</v>
      </c>
      <c r="AL57" s="46">
        <f t="shared" ref="AL57" si="75">AVERAGE(AL36:AL56)</f>
        <v>0.3034166700000141</v>
      </c>
      <c r="AM57" s="46">
        <f t="shared" ref="AM57" si="76">AVERAGE(AM36:AM56)</f>
        <v>0.43341667000001055</v>
      </c>
      <c r="AN57" s="46">
        <f t="shared" ref="AN57" si="77">AVERAGE(AN36:AN56)</f>
        <v>0.43341767000000975</v>
      </c>
      <c r="AO57" s="46">
        <f t="shared" ref="AO57" si="78">AVERAGE(AO36:AO56)</f>
        <v>0.49343018913129083</v>
      </c>
      <c r="AP57" s="46">
        <f t="shared" ref="AP57" si="79">AVERAGE(AP36:AP56)</f>
        <v>0.50438147399178157</v>
      </c>
      <c r="AQ57" s="46">
        <f t="shared" ref="AQ57" si="80">AVERAGE(AQ36:AQ56)</f>
        <v>0.52389301606228211</v>
      </c>
      <c r="AR57" s="46">
        <f t="shared" ref="AR57" si="81">AVERAGE(AR36:AR56)</f>
        <v>0.57346335462346598</v>
      </c>
      <c r="AS57" s="46">
        <f t="shared" ref="AS57" si="82">AVERAGE(AS36:AS56)</f>
        <v>0.60341667000001864</v>
      </c>
      <c r="AT57" s="46">
        <f t="shared" ref="AT57" si="83">AVERAGE(AT36:AT56)</f>
        <v>0.56341667000000062</v>
      </c>
      <c r="AU57" s="46">
        <f t="shared" ref="AU57" si="84">AVERAGE(AU36:AU56)</f>
        <v>0.55327650166769005</v>
      </c>
      <c r="AV57" s="46">
        <f t="shared" ref="AV57" si="85">AVERAGE(AV36:AV56)</f>
        <v>0.43341667000001022</v>
      </c>
      <c r="AW57" s="46">
        <f t="shared" ref="AW57" si="86">AVERAGE(AW36:AW56)</f>
        <v>0.4033996256990533</v>
      </c>
      <c r="AX57" s="46">
        <f t="shared" ref="AX57" si="87">AVERAGE(AX36:AX56)</f>
        <v>0.31341667000000534</v>
      </c>
      <c r="AY57" s="46">
        <f t="shared" ref="AY57" si="88">AVERAGE(AY36:AY56)</f>
        <v>0.31341567000000953</v>
      </c>
      <c r="AZ57" s="46">
        <f t="shared" ref="AZ57" si="89">AVERAGE(AZ36:AZ56)</f>
        <v>0.31341467000001544</v>
      </c>
      <c r="BA57" s="46">
        <f t="shared" ref="BA57" si="90">AVERAGE(BA36:BA56)</f>
        <v>0.30012982662134863</v>
      </c>
      <c r="BB57" s="46">
        <f t="shared" ref="BB57" si="91">AVERAGE(BB36:BB56)</f>
        <v>0.12341667000000524</v>
      </c>
      <c r="BC57" s="46">
        <f t="shared" ref="BC57" si="92">AVERAGE(BC36:BC56)</f>
        <v>-2.6583329999980827E-2</v>
      </c>
      <c r="BD57" s="46">
        <f t="shared" ref="BD57" si="93">AVERAGE(BD36:BD56)</f>
        <v>-0.12658332999998495</v>
      </c>
      <c r="BE57" s="46">
        <f t="shared" ref="BE57" si="94">AVERAGE(BE36:BE56)</f>
        <v>-0.21658332999998497</v>
      </c>
      <c r="BF57" s="46">
        <f t="shared" ref="BF57" si="95">AVERAGE(BF36:BF56)</f>
        <v>-0.2665833299999808</v>
      </c>
      <c r="BG57" s="46">
        <f t="shared" ref="BG57" si="96">AVERAGE(BG36:BG56)</f>
        <v>-0.41658332999997194</v>
      </c>
      <c r="BH57" s="46">
        <f t="shared" ref="BH57" si="97">AVERAGE(BH36:BH56)</f>
        <v>-0.5565833299999664</v>
      </c>
      <c r="BI57" s="46">
        <f t="shared" ref="BI57" si="98">AVERAGE(BI36:BI56)</f>
        <v>-0.69658332999999473</v>
      </c>
      <c r="BJ57" s="46">
        <f t="shared" ref="BJ57" si="99">AVERAGE(BJ36:BJ56)</f>
        <v>-0.6965843299999942</v>
      </c>
    </row>
    <row r="58" spans="1:62" x14ac:dyDescent="0.3">
      <c r="C58" s="42" t="s">
        <v>15</v>
      </c>
      <c r="D58" s="41">
        <f>_xlfn.STDEV.S(D36:D57)</f>
        <v>0</v>
      </c>
      <c r="E58" s="41">
        <f t="shared" ref="E58:O58" si="100">_xlfn.STDEV.S(E36:E57)</f>
        <v>8.3242648843739123E-2</v>
      </c>
      <c r="F58" s="41">
        <f t="shared" si="100"/>
        <v>7.9184737830632707E-2</v>
      </c>
      <c r="G58" s="41">
        <f t="shared" si="100"/>
        <v>7.2662597237557955E-2</v>
      </c>
      <c r="H58" s="41">
        <f t="shared" si="100"/>
        <v>6.6363316879775966E-2</v>
      </c>
      <c r="I58" s="41">
        <f t="shared" si="100"/>
        <v>5.4691824841065093E-2</v>
      </c>
      <c r="J58" s="41">
        <f t="shared" si="100"/>
        <v>4.2832211571491599E-2</v>
      </c>
      <c r="K58" s="41">
        <f t="shared" si="100"/>
        <v>3.8746018747826842E-2</v>
      </c>
      <c r="L58" s="41">
        <f t="shared" si="100"/>
        <v>3.8107188426089761E-2</v>
      </c>
      <c r="M58" s="41">
        <f t="shared" si="100"/>
        <v>4.0192312073698888E-2</v>
      </c>
      <c r="N58" s="41">
        <f t="shared" si="100"/>
        <v>4.3395450891474507E-2</v>
      </c>
      <c r="O58" s="41">
        <f t="shared" si="100"/>
        <v>6.6111983894817053E-2</v>
      </c>
      <c r="P58" s="41">
        <f t="shared" ref="P58" si="101">_xlfn.STDEV.S(P36:P57)</f>
        <v>4.2694439435064797E-2</v>
      </c>
      <c r="Q58" s="41">
        <f t="shared" ref="Q58" si="102">_xlfn.STDEV.S(Q36:Q57)</f>
        <v>4.2333114879884615E-2</v>
      </c>
      <c r="R58" s="41">
        <f t="shared" ref="R58" si="103">_xlfn.STDEV.S(R36:R57)</f>
        <v>4.2333114879888209E-2</v>
      </c>
      <c r="S58" s="41">
        <f t="shared" ref="S58" si="104">_xlfn.STDEV.S(S36:S57)</f>
        <v>5.8533300716488587E-2</v>
      </c>
      <c r="T58" s="41">
        <f t="shared" ref="T58" si="105">_xlfn.STDEV.S(T36:T57)</f>
        <v>6.7993875504667387E-2</v>
      </c>
      <c r="U58" s="41">
        <f t="shared" ref="U58" si="106">_xlfn.STDEV.S(U36:U57)</f>
        <v>7.1362053563516381E-2</v>
      </c>
      <c r="V58" s="41">
        <f t="shared" ref="V58" si="107">_xlfn.STDEV.S(V36:V57)</f>
        <v>8.6138905986814437E-2</v>
      </c>
      <c r="W58" s="41">
        <f t="shared" ref="W58" si="108">_xlfn.STDEV.S(W36:W57)</f>
        <v>9.0723392670943842E-2</v>
      </c>
      <c r="X58" s="41">
        <f t="shared" ref="X58" si="109">_xlfn.STDEV.S(X36:X57)</f>
        <v>9.3177696182373718E-2</v>
      </c>
      <c r="Y58" s="41">
        <f t="shared" ref="Y58" si="110">_xlfn.STDEV.S(Y36:Y57)</f>
        <v>9.4859774192526239E-2</v>
      </c>
      <c r="Z58" s="41">
        <f t="shared" ref="Z58" si="111">_xlfn.STDEV.S(Z36:Z57)</f>
        <v>9.4859774192532484E-2</v>
      </c>
      <c r="AA58" s="41">
        <f t="shared" ref="AA58" si="112">_xlfn.STDEV.S(AA36:AA57)</f>
        <v>9.6825806967644298E-2</v>
      </c>
      <c r="AB58" s="41">
        <f t="shared" ref="AB58" si="113">_xlfn.STDEV.S(AB36:AB57)</f>
        <v>9.691036400443076E-2</v>
      </c>
      <c r="AC58" s="41">
        <f t="shared" ref="AC58" si="114">_xlfn.STDEV.S(AC36:AC57)</f>
        <v>9.7108071590218878E-2</v>
      </c>
      <c r="AD58" s="41">
        <f t="shared" ref="AD58" si="115">_xlfn.STDEV.S(AD36:AD57)</f>
        <v>9.7144105450692284E-2</v>
      </c>
      <c r="AE58" s="41">
        <f t="shared" ref="AE58" si="116">_xlfn.STDEV.S(AE36:AE57)</f>
        <v>9.715146282516389E-2</v>
      </c>
      <c r="AF58" s="41">
        <f t="shared" ref="AF58" si="117">_xlfn.STDEV.S(AF36:AF57)</f>
        <v>9.7200470470925962E-2</v>
      </c>
      <c r="AG58" s="41">
        <f t="shared" ref="AG58" si="118">_xlfn.STDEV.S(AG36:AG57)</f>
        <v>9.7032418525031208E-2</v>
      </c>
      <c r="AH58" s="41">
        <f t="shared" ref="AH58" si="119">_xlfn.STDEV.S(AH36:AH57)</f>
        <v>9.6922331341708703E-2</v>
      </c>
      <c r="AI58" s="41">
        <f t="shared" ref="AI58" si="120">_xlfn.STDEV.S(AI36:AI57)</f>
        <v>9.6922331341708481E-2</v>
      </c>
      <c r="AJ58" s="46">
        <f t="shared" ref="AJ58" si="121">_xlfn.STDEV.S(AJ36:AJ57)</f>
        <v>0</v>
      </c>
      <c r="AK58" s="46">
        <f t="shared" ref="AK58" si="122">_xlfn.STDEV.S(AK36:AK57)</f>
        <v>4.4894110925205517E-2</v>
      </c>
      <c r="AL58" s="46">
        <f t="shared" ref="AL58" si="123">_xlfn.STDEV.S(AL36:AL57)</f>
        <v>3.9503662383961316E-2</v>
      </c>
      <c r="AM58" s="46">
        <f t="shared" ref="AM58" si="124">_xlfn.STDEV.S(AM36:AM57)</f>
        <v>3.1677943559779174E-2</v>
      </c>
      <c r="AN58" s="46">
        <f t="shared" ref="AN58" si="125">_xlfn.STDEV.S(AN36:AN57)</f>
        <v>3.1677943559779292E-2</v>
      </c>
      <c r="AO58" s="46">
        <f t="shared" ref="AO58" si="126">_xlfn.STDEV.S(AO36:AO57)</f>
        <v>1.7557199917801306E-2</v>
      </c>
      <c r="AP58" s="46">
        <f t="shared" ref="AP58" si="127">_xlfn.STDEV.S(AP36:AP57)</f>
        <v>2.2529427908788018E-2</v>
      </c>
      <c r="AQ58" s="46">
        <f t="shared" ref="AQ58" si="128">_xlfn.STDEV.S(AQ36:AQ57)</f>
        <v>3.335675441312666E-2</v>
      </c>
      <c r="AR58" s="46">
        <f t="shared" ref="AR58" si="129">_xlfn.STDEV.S(AR36:AR57)</f>
        <v>4.6446375250130519E-2</v>
      </c>
      <c r="AS58" s="46">
        <f t="shared" ref="AS58" si="130">_xlfn.STDEV.S(AS36:AS57)</f>
        <v>5.2292513424269167E-2</v>
      </c>
      <c r="AT58" s="46">
        <f t="shared" ref="AT58" si="131">_xlfn.STDEV.S(AT36:AT57)</f>
        <v>4.854301226582567E-2</v>
      </c>
      <c r="AU58" s="46">
        <f t="shared" ref="AU58" si="132">_xlfn.STDEV.S(AU36:AU57)</f>
        <v>4.0385217685608425E-2</v>
      </c>
      <c r="AV58" s="46">
        <f t="shared" ref="AV58" si="133">_xlfn.STDEV.S(AV36:AV57)</f>
        <v>2.4929774217490139E-2</v>
      </c>
      <c r="AW58" s="46">
        <f t="shared" ref="AW58" si="134">_xlfn.STDEV.S(AW36:AW57)</f>
        <v>1.6745851325104026E-2</v>
      </c>
      <c r="AX58" s="46">
        <f t="shared" ref="AX58" si="135">_xlfn.STDEV.S(AX36:AX57)</f>
        <v>2.1254597641640331E-2</v>
      </c>
      <c r="AY58" s="46">
        <f t="shared" ref="AY58" si="136">_xlfn.STDEV.S(AY36:AY57)</f>
        <v>2.1254597641642514E-2</v>
      </c>
      <c r="AZ58" s="46">
        <f t="shared" ref="AZ58" si="137">_xlfn.STDEV.S(AZ36:AZ57)</f>
        <v>2.1254597641639034E-2</v>
      </c>
      <c r="BA58" s="46">
        <f t="shared" ref="BA58" si="138">_xlfn.STDEV.S(BA36:BA57)</f>
        <v>3.4640962197421625E-2</v>
      </c>
      <c r="BB58" s="46">
        <f t="shared" ref="BB58" si="139">_xlfn.STDEV.S(BB36:BB57)</f>
        <v>4.8777616651394656E-2</v>
      </c>
      <c r="BC58" s="46">
        <f t="shared" ref="BC58" si="140">_xlfn.STDEV.S(BC36:BC57)</f>
        <v>5.0670328487452593E-2</v>
      </c>
      <c r="BD58" s="46">
        <f t="shared" ref="BD58" si="141">_xlfn.STDEV.S(BD36:BD57)</f>
        <v>5.1184319682883055E-2</v>
      </c>
      <c r="BE58" s="46">
        <f t="shared" ref="BE58" si="142">_xlfn.STDEV.S(BE36:BE57)</f>
        <v>5.1387905640043696E-2</v>
      </c>
      <c r="BF58" s="46">
        <f t="shared" ref="BF58" si="143">_xlfn.STDEV.S(BF36:BF57)</f>
        <v>5.1735769869319617E-2</v>
      </c>
      <c r="BG58" s="46">
        <f t="shared" ref="BG58" si="144">_xlfn.STDEV.S(BG36:BG57)</f>
        <v>5.2153718068336609E-2</v>
      </c>
      <c r="BH58" s="46">
        <f t="shared" ref="BH58" si="145">_xlfn.STDEV.S(BH36:BH57)</f>
        <v>5.2414373417611362E-2</v>
      </c>
      <c r="BI58" s="46">
        <f t="shared" ref="BI58" si="146">_xlfn.STDEV.S(BI36:BI57)</f>
        <v>5.2987943197358785E-2</v>
      </c>
      <c r="BJ58" s="46">
        <f t="shared" ref="BJ58" si="147">_xlfn.STDEV.S(BJ36:BJ57)</f>
        <v>5.2987943197358979E-2</v>
      </c>
    </row>
    <row r="59" spans="1:62" x14ac:dyDescent="0.3">
      <c r="C59" s="51" t="s">
        <v>27</v>
      </c>
      <c r="D59" s="33">
        <f>MEDIAN(D36:D58)</f>
        <v>0</v>
      </c>
      <c r="E59" s="33">
        <f t="shared" ref="E59:O59" si="148">MEDIAN(E36:E58)</f>
        <v>0.21220429505189742</v>
      </c>
      <c r="F59" s="33">
        <f t="shared" si="148"/>
        <v>0.48823744350249854</v>
      </c>
      <c r="G59" s="33">
        <f t="shared" si="148"/>
        <v>0.64454236298660561</v>
      </c>
      <c r="H59" s="33">
        <f t="shared" si="148"/>
        <v>0.96000000000000085</v>
      </c>
      <c r="I59" s="33">
        <f t="shared" si="148"/>
        <v>1.104061666740705</v>
      </c>
      <c r="J59" s="33">
        <f t="shared" si="148"/>
        <v>1.2773397841825016</v>
      </c>
      <c r="K59" s="33">
        <f t="shared" si="148"/>
        <v>1.408071096291998</v>
      </c>
      <c r="L59" s="33">
        <f t="shared" si="148"/>
        <v>1.5800000000000149</v>
      </c>
      <c r="M59" s="33">
        <f t="shared" si="148"/>
        <v>1.5846012935853011</v>
      </c>
      <c r="N59" s="33">
        <f t="shared" si="148"/>
        <v>1.6014093733840014</v>
      </c>
      <c r="O59" s="33">
        <f t="shared" si="148"/>
        <v>1.549146834451399</v>
      </c>
      <c r="P59" s="33">
        <f t="shared" ref="P59" si="149">MEDIAN(P36:P58)</f>
        <v>1.3400000000000007</v>
      </c>
      <c r="Q59" s="33">
        <f t="shared" ref="Q59" si="150">MEDIAN(Q36:Q58)</f>
        <v>1.319845695073691</v>
      </c>
      <c r="R59" s="33">
        <f t="shared" ref="R59" si="151">MEDIAN(R36:R58)</f>
        <v>1.3198446950736962</v>
      </c>
      <c r="S59" s="33">
        <f t="shared" ref="S59" si="152">MEDIAN(S36:S58)</f>
        <v>1.2549458809790011</v>
      </c>
      <c r="T59" s="33">
        <f t="shared" ref="T59" si="153">MEDIAN(T36:T58)</f>
        <v>1.2298547643017814</v>
      </c>
      <c r="U59" s="33">
        <f t="shared" ref="U59" si="154">MEDIAN(U36:U58)</f>
        <v>1.2271528411935919</v>
      </c>
      <c r="V59" s="33">
        <f t="shared" ref="V59" si="155">MEDIAN(V36:V58)</f>
        <v>1.0859240490091011</v>
      </c>
      <c r="W59" s="33">
        <f t="shared" ref="W59" si="156">MEDIAN(W36:W58)</f>
        <v>1.0227308587357058</v>
      </c>
      <c r="X59" s="33">
        <f t="shared" ref="X59" si="157">MEDIAN(X36:X58)</f>
        <v>0.9686614046802049</v>
      </c>
      <c r="Y59" s="33">
        <f t="shared" ref="Y59" si="158">MEDIAN(Y36:Y58)</f>
        <v>0.90986807926990565</v>
      </c>
      <c r="Z59" s="33">
        <f t="shared" ref="Z59" si="159">MEDIAN(Z36:Z58)</f>
        <v>0.90986707926990107</v>
      </c>
      <c r="AA59" s="33">
        <f t="shared" ref="AA59" si="160">MEDIAN(AA36:AA58)</f>
        <v>0.87128454190870031</v>
      </c>
      <c r="AB59" s="33">
        <f t="shared" ref="AB59" si="161">MEDIAN(AB36:AB58)</f>
        <v>0.83227473442810407</v>
      </c>
      <c r="AC59" s="33">
        <f t="shared" ref="AC59" si="162">MEDIAN(AC36:AC58)</f>
        <v>0.79335718426800383</v>
      </c>
      <c r="AD59" s="33">
        <f t="shared" ref="AD59" si="163">MEDIAN(AD36:AD58)</f>
        <v>0.75236806000500422</v>
      </c>
      <c r="AE59" s="33">
        <f t="shared" ref="AE59" si="164">MEDIAN(AE36:AE58)</f>
        <v>0.71032511781680086</v>
      </c>
      <c r="AF59" s="33">
        <f t="shared" ref="AF59" si="165">MEDIAN(AF36:AF58)</f>
        <v>0.67090080418880405</v>
      </c>
      <c r="AG59" s="33">
        <f t="shared" ref="AG59" si="166">MEDIAN(AG36:AG58)</f>
        <v>0.5833031301004965</v>
      </c>
      <c r="AH59" s="33">
        <f t="shared" ref="AH59" si="167">MEDIAN(AH36:AH58)</f>
        <v>0.5640750447659002</v>
      </c>
      <c r="AI59" s="33">
        <f t="shared" ref="AI59" si="168">MEDIAN(AI36:AI58)</f>
        <v>0.56407404476590273</v>
      </c>
      <c r="AJ59" s="33">
        <f t="shared" ref="AJ59" si="169">MEDIAN(AJ36:AJ58)</f>
        <v>0</v>
      </c>
      <c r="AK59" s="33">
        <f t="shared" ref="AK59" si="170">MEDIAN(AK36:AK58)</f>
        <v>0.22041475490190265</v>
      </c>
      <c r="AL59" s="33">
        <f t="shared" ref="AL59" si="171">MEDIAN(AL36:AL58)</f>
        <v>0.3034166700000141</v>
      </c>
      <c r="AM59" s="33">
        <f t="shared" ref="AM59" si="172">MEDIAN(AM36:AM58)</f>
        <v>0.43160949738309995</v>
      </c>
      <c r="AN59" s="33">
        <f t="shared" ref="AN59" si="173">MEDIAN(AN36:AN58)</f>
        <v>0.43161049738310453</v>
      </c>
      <c r="AO59" s="33">
        <f t="shared" ref="AO59" si="174">MEDIAN(AO36:AO58)</f>
        <v>0.48758889453129939</v>
      </c>
      <c r="AP59" s="33">
        <f t="shared" ref="AP59" si="175">MEDIAN(AP36:AP58)</f>
        <v>0.50042914754489942</v>
      </c>
      <c r="AQ59" s="33">
        <f t="shared" ref="AQ59" si="176">MEDIAN(AQ36:AQ58)</f>
        <v>0.51519360075040055</v>
      </c>
      <c r="AR59" s="33">
        <f t="shared" ref="AR59" si="177">MEDIAN(AR36:AR58)</f>
        <v>0.56467855854929638</v>
      </c>
      <c r="AS59" s="33">
        <f t="shared" ref="AS59" si="178">MEDIAN(AS36:AS58)</f>
        <v>0.59465202524680194</v>
      </c>
      <c r="AT59" s="33">
        <f t="shared" ref="AT59" si="179">MEDIAN(AT36:AT58)</f>
        <v>0.55782686079960087</v>
      </c>
      <c r="AU59" s="33">
        <f t="shared" ref="AU59" si="180">MEDIAN(AU36:AU58)</f>
        <v>0.54993259299389763</v>
      </c>
      <c r="AV59" s="33">
        <f t="shared" ref="AV59" si="181">MEDIAN(AV36:AV58)</f>
        <v>0.42995486393490268</v>
      </c>
      <c r="AW59" s="33">
        <f t="shared" ref="AW59" si="182">MEDIAN(AW36:AW58)</f>
        <v>0.40282243297669851</v>
      </c>
      <c r="AX59" s="33">
        <f t="shared" ref="AX59" si="183">MEDIAN(AX36:AX58)</f>
        <v>0.30928822657670452</v>
      </c>
      <c r="AY59" s="33">
        <f t="shared" ref="AY59" si="184">MEDIAN(AY36:AY58)</f>
        <v>0.30928722657669994</v>
      </c>
      <c r="AZ59" s="33">
        <f t="shared" ref="AZ59" si="185">MEDIAN(AZ36:AZ58)</f>
        <v>0.30928622657670246</v>
      </c>
      <c r="BA59" s="33">
        <f t="shared" ref="BA59" si="186">MEDIAN(BA36:BA58)</f>
        <v>0.30012982662134863</v>
      </c>
      <c r="BB59" s="33">
        <f t="shared" ref="BB59" si="187">MEDIAN(BB36:BB58)</f>
        <v>0.12039969335609868</v>
      </c>
      <c r="BC59" s="33">
        <f t="shared" ref="BC59" si="188">MEDIAN(BC36:BC58)</f>
        <v>-2.6583329999980827E-2</v>
      </c>
      <c r="BD59" s="33">
        <f t="shared" ref="BD59" si="189">MEDIAN(BD36:BD58)</f>
        <v>-0.12658332999998495</v>
      </c>
      <c r="BE59" s="33">
        <f t="shared" ref="BE59" si="190">MEDIAN(BE36:BE58)</f>
        <v>-0.21510102187029645</v>
      </c>
      <c r="BF59" s="33">
        <f t="shared" ref="BF59" si="191">MEDIAN(BF36:BF58)</f>
        <v>-0.26514414267199982</v>
      </c>
      <c r="BG59" s="33">
        <f t="shared" ref="BG59" si="192">MEDIAN(BG36:BG58)</f>
        <v>-0.41080772632859919</v>
      </c>
      <c r="BH59" s="33">
        <f t="shared" ref="BH59" si="193">MEDIAN(BH36:BH58)</f>
        <v>-0.5510103595937963</v>
      </c>
      <c r="BI59" s="33">
        <f t="shared" ref="BI59" si="194">MEDIAN(BI36:BI58)</f>
        <v>-0.69658332999999473</v>
      </c>
      <c r="BJ59" s="33">
        <f t="shared" ref="BJ59" si="195">MEDIAN(BJ36:BJ58)</f>
        <v>-0.6965843299999942</v>
      </c>
    </row>
    <row r="67" spans="2:2" x14ac:dyDescent="0.3">
      <c r="B67" s="28">
        <v>0</v>
      </c>
    </row>
    <row r="68" spans="2:2" x14ac:dyDescent="0.3">
      <c r="B68" s="28">
        <v>0.22355555555549955</v>
      </c>
    </row>
    <row r="69" spans="2:2" x14ac:dyDescent="0.3">
      <c r="B69" s="28">
        <v>0.48850925925900412</v>
      </c>
    </row>
    <row r="70" spans="2:2" x14ac:dyDescent="0.3">
      <c r="B70" s="28">
        <v>0.64768518518520324</v>
      </c>
    </row>
    <row r="71" spans="2:2" x14ac:dyDescent="0.3">
      <c r="B71" s="28">
        <v>0.95583333333330245</v>
      </c>
    </row>
    <row r="72" spans="2:2" x14ac:dyDescent="0.3">
      <c r="B72" s="28">
        <v>1.1039814814814832</v>
      </c>
    </row>
    <row r="73" spans="2:2" x14ac:dyDescent="0.3">
      <c r="B73" s="28">
        <v>1.2687962962962942</v>
      </c>
    </row>
    <row r="74" spans="2:2" x14ac:dyDescent="0.3">
      <c r="B74" s="28">
        <v>1.3999999999999986</v>
      </c>
    </row>
    <row r="75" spans="2:2" x14ac:dyDescent="0.3">
      <c r="B75" s="28">
        <v>1.5844532999999998</v>
      </c>
    </row>
    <row r="76" spans="2:2" x14ac:dyDescent="0.3">
      <c r="B76" s="28">
        <v>1.5888740000000041</v>
      </c>
    </row>
    <row r="77" spans="2:2" x14ac:dyDescent="0.3">
      <c r="B77" s="28">
        <v>1.567770000000003</v>
      </c>
    </row>
    <row r="78" spans="2:2" x14ac:dyDescent="0.3">
      <c r="B78" s="28">
        <v>1.5477500000000006</v>
      </c>
    </row>
    <row r="79" spans="2:2" x14ac:dyDescent="0.3">
      <c r="B79" s="28">
        <v>1.3400000000000034</v>
      </c>
    </row>
    <row r="80" spans="2:2" x14ac:dyDescent="0.3">
      <c r="B80" s="28">
        <v>1.3211111111110014</v>
      </c>
    </row>
    <row r="81" spans="2:2" x14ac:dyDescent="0.3">
      <c r="B81" s="28">
        <v>1.3461111111111137</v>
      </c>
    </row>
    <row r="82" spans="2:2" x14ac:dyDescent="0.3">
      <c r="B82" s="28">
        <v>1.2455555555555549</v>
      </c>
    </row>
    <row r="83" spans="2:2" x14ac:dyDescent="0.3">
      <c r="B83" s="28">
        <v>1.230000000000004</v>
      </c>
    </row>
    <row r="84" spans="2:2" x14ac:dyDescent="0.3">
      <c r="B84" s="28">
        <v>1.2250000000000014</v>
      </c>
    </row>
    <row r="85" spans="2:2" x14ac:dyDescent="0.3">
      <c r="B85" s="28">
        <v>1.0900000000000034</v>
      </c>
    </row>
    <row r="86" spans="2:2" x14ac:dyDescent="0.3">
      <c r="B86" s="28">
        <v>1.0333333333333314</v>
      </c>
    </row>
    <row r="87" spans="2:2" x14ac:dyDescent="0.3">
      <c r="B87" s="28">
        <v>0.9766666666667021</v>
      </c>
    </row>
    <row r="88" spans="2:2" x14ac:dyDescent="0.3">
      <c r="B88" s="28">
        <v>0.92000000000000171</v>
      </c>
    </row>
    <row r="89" spans="2:2" x14ac:dyDescent="0.3">
      <c r="B89" s="28">
        <v>0.93999999999999773</v>
      </c>
    </row>
    <row r="90" spans="2:2" x14ac:dyDescent="0.3">
      <c r="B90" s="28">
        <v>0.88425925925930215</v>
      </c>
    </row>
    <row r="91" spans="2:2" x14ac:dyDescent="0.3">
      <c r="B91" s="28">
        <v>0.84333333333333371</v>
      </c>
    </row>
    <row r="92" spans="2:2" x14ac:dyDescent="0.3">
      <c r="B92" s="28">
        <v>0.8024074074074079</v>
      </c>
    </row>
    <row r="93" spans="2:2" x14ac:dyDescent="0.3">
      <c r="B93" s="28">
        <v>0.76148148148140393</v>
      </c>
    </row>
    <row r="94" spans="2:2" x14ac:dyDescent="0.3">
      <c r="B94" s="28">
        <v>0.72055555555539996</v>
      </c>
    </row>
    <row r="95" spans="2:2" x14ac:dyDescent="0.3">
      <c r="B95" s="28">
        <v>0.67962962962950257</v>
      </c>
    </row>
    <row r="96" spans="2:2" x14ac:dyDescent="0.3">
      <c r="B96" s="28">
        <v>0.59018518518518448</v>
      </c>
    </row>
    <row r="97" spans="2:2" x14ac:dyDescent="0.3">
      <c r="B97" s="28">
        <v>0.56592592592592439</v>
      </c>
    </row>
    <row r="98" spans="2:2" x14ac:dyDescent="0.3">
      <c r="B98" s="28">
        <v>0.59166666666667567</v>
      </c>
    </row>
  </sheetData>
  <mergeCells count="4">
    <mergeCell ref="D3:AI3"/>
    <mergeCell ref="D34:AI34"/>
    <mergeCell ref="AJ34:BJ34"/>
    <mergeCell ref="AJ3:BO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3C26-C58F-42CF-8120-75EFAB840563}">
  <dimension ref="A3:O98"/>
  <sheetViews>
    <sheetView topLeftCell="A15" workbookViewId="0">
      <selection activeCell="C34" sqref="C34:O56"/>
    </sheetView>
  </sheetViews>
  <sheetFormatPr baseColWidth="10" defaultRowHeight="14.4" x14ac:dyDescent="0.3"/>
  <cols>
    <col min="2" max="2" width="21.21875" bestFit="1" customWidth="1"/>
    <col min="3" max="3" width="21.21875" customWidth="1"/>
  </cols>
  <sheetData>
    <row r="3" spans="1:15" ht="52.8" customHeight="1" x14ac:dyDescent="0.3">
      <c r="D3" s="73" t="s">
        <v>39</v>
      </c>
      <c r="E3" s="74"/>
      <c r="F3" s="74"/>
      <c r="G3" s="74"/>
      <c r="H3" s="74"/>
      <c r="I3" s="74"/>
      <c r="J3" s="75" t="s">
        <v>40</v>
      </c>
      <c r="K3" s="76"/>
      <c r="L3" s="76"/>
      <c r="M3" s="76"/>
      <c r="N3" s="76"/>
      <c r="O3" s="76"/>
    </row>
    <row r="4" spans="1:15" x14ac:dyDescent="0.3">
      <c r="A4" s="27" t="s">
        <v>37</v>
      </c>
      <c r="B4" t="s">
        <v>36</v>
      </c>
      <c r="C4" s="31" t="s">
        <v>37</v>
      </c>
      <c r="D4" s="34">
        <v>0</v>
      </c>
      <c r="E4" s="34">
        <v>5.5555555555559799E-3</v>
      </c>
      <c r="F4" s="34">
        <v>1.1111111111110961E-2</v>
      </c>
      <c r="G4" s="34">
        <v>1.6666666666666996E-2</v>
      </c>
      <c r="H4" s="34">
        <v>2.2222222222222976E-2</v>
      </c>
      <c r="I4" s="34">
        <v>2.7777777777777957E-2</v>
      </c>
      <c r="J4" s="36">
        <v>0</v>
      </c>
      <c r="K4" s="36">
        <v>5.5555555555559799E-3</v>
      </c>
      <c r="L4" s="36">
        <v>1.1111111111110961E-2</v>
      </c>
      <c r="M4" s="36">
        <v>1.6666666666666996E-2</v>
      </c>
      <c r="N4" s="36">
        <v>2.2222222222222976E-2</v>
      </c>
      <c r="O4" s="36">
        <v>2.7777777777777957E-2</v>
      </c>
    </row>
    <row r="5" spans="1:15" x14ac:dyDescent="0.3">
      <c r="A5">
        <v>1</v>
      </c>
      <c r="B5" s="35">
        <v>37.232841002578297</v>
      </c>
      <c r="C5" s="32">
        <v>1</v>
      </c>
      <c r="D5" s="35">
        <v>37.232841002578297</v>
      </c>
      <c r="E5" s="33">
        <v>37.295017308278503</v>
      </c>
      <c r="F5" s="33">
        <v>37.585804220572598</v>
      </c>
      <c r="G5" s="33">
        <v>37.750303513887303</v>
      </c>
      <c r="H5" s="33">
        <v>38.078154819328702</v>
      </c>
      <c r="I5" s="33">
        <v>38.238249896249201</v>
      </c>
      <c r="J5" s="33">
        <v>36.8274698962231</v>
      </c>
      <c r="K5" s="33">
        <v>37.1494875092597</v>
      </c>
      <c r="L5" s="33">
        <v>37.222654637178898</v>
      </c>
      <c r="M5" s="33">
        <v>37.341402806502401</v>
      </c>
      <c r="N5" s="33">
        <v>37.341403806502399</v>
      </c>
      <c r="O5" s="33">
        <v>37.3759365372999</v>
      </c>
    </row>
    <row r="6" spans="1:15" x14ac:dyDescent="0.3">
      <c r="A6">
        <v>2</v>
      </c>
      <c r="B6" s="35">
        <v>36.359650162923302</v>
      </c>
      <c r="C6" s="32">
        <v>2</v>
      </c>
      <c r="D6" s="35">
        <v>36.359650162923302</v>
      </c>
      <c r="E6" s="33">
        <v>36.612235827426801</v>
      </c>
      <c r="F6" s="33">
        <v>36.895532283769697</v>
      </c>
      <c r="G6" s="33">
        <v>37.0559716374011</v>
      </c>
      <c r="H6" s="33">
        <v>37.350411677426798</v>
      </c>
      <c r="I6" s="33">
        <v>37.486619103034002</v>
      </c>
      <c r="J6" s="33">
        <v>37.368007259746399</v>
      </c>
      <c r="K6" s="33">
        <v>37.567345564532303</v>
      </c>
      <c r="L6" s="33">
        <v>37.6490272431611</v>
      </c>
      <c r="M6" s="33">
        <v>37.798018784788603</v>
      </c>
      <c r="N6" s="33">
        <v>37.7980197847886</v>
      </c>
      <c r="O6" s="33">
        <v>37.879370917979699</v>
      </c>
    </row>
    <row r="7" spans="1:15" x14ac:dyDescent="0.3">
      <c r="A7">
        <v>3</v>
      </c>
      <c r="B7" s="35">
        <v>36.5616060949637</v>
      </c>
      <c r="C7" s="32">
        <v>3</v>
      </c>
      <c r="D7" s="35">
        <v>36.5616060949637</v>
      </c>
      <c r="E7" s="33">
        <v>36.7688331701168</v>
      </c>
      <c r="F7" s="33">
        <v>37.042804805291603</v>
      </c>
      <c r="G7" s="33">
        <v>37.198690783590401</v>
      </c>
      <c r="H7" s="33">
        <v>37.501644938760101</v>
      </c>
      <c r="I7" s="33">
        <v>37.638173480836997</v>
      </c>
      <c r="J7" s="33">
        <v>37.182627294878898</v>
      </c>
      <c r="K7" s="33">
        <v>37.391573408929503</v>
      </c>
      <c r="L7" s="33">
        <v>37.469402451779501</v>
      </c>
      <c r="M7" s="33">
        <v>37.596484238185802</v>
      </c>
      <c r="N7" s="33">
        <v>37.596485238185799</v>
      </c>
      <c r="O7" s="33">
        <v>37.657858917505401</v>
      </c>
    </row>
    <row r="8" spans="1:15" x14ac:dyDescent="0.3">
      <c r="A8">
        <v>4</v>
      </c>
      <c r="B8" s="35">
        <v>36.713327319841497</v>
      </c>
      <c r="C8" s="32">
        <v>4</v>
      </c>
      <c r="D8" s="35">
        <v>36.713327319841497</v>
      </c>
      <c r="E8" s="33">
        <v>36.907495659993998</v>
      </c>
      <c r="F8" s="33">
        <v>37.175090491785198</v>
      </c>
      <c r="G8" s="33">
        <v>37.339057525923401</v>
      </c>
      <c r="H8" s="33">
        <v>37.668012702375201</v>
      </c>
      <c r="I8" s="33">
        <v>37.817388986582202</v>
      </c>
      <c r="J8" s="33">
        <v>36.718306533881602</v>
      </c>
      <c r="K8" s="33">
        <v>37.000123045822903</v>
      </c>
      <c r="L8" s="33">
        <v>37.071173936154402</v>
      </c>
      <c r="M8" s="33">
        <v>37.192877796438097</v>
      </c>
      <c r="N8" s="33">
        <v>37.192878796438102</v>
      </c>
      <c r="O8" s="33">
        <v>37.220778062855402</v>
      </c>
    </row>
    <row r="9" spans="1:15" x14ac:dyDescent="0.3">
      <c r="A9">
        <v>5</v>
      </c>
      <c r="B9" s="35">
        <v>36.228867437573001</v>
      </c>
      <c r="C9" s="32">
        <v>5</v>
      </c>
      <c r="D9" s="35">
        <v>36.228867437573001</v>
      </c>
      <c r="E9" s="33">
        <v>36.516974895805603</v>
      </c>
      <c r="F9" s="33">
        <v>36.827637970921003</v>
      </c>
      <c r="G9" s="33">
        <v>36.977017595052601</v>
      </c>
      <c r="H9" s="33">
        <v>37.293807890616002</v>
      </c>
      <c r="I9" s="33">
        <v>37.426892737970398</v>
      </c>
      <c r="J9" s="33">
        <v>36.9590455086026</v>
      </c>
      <c r="K9" s="33">
        <v>37.202367315961403</v>
      </c>
      <c r="L9" s="33">
        <v>37.287803987455298</v>
      </c>
      <c r="M9" s="33">
        <v>37.406885512638901</v>
      </c>
      <c r="N9" s="33">
        <v>37.406886512638899</v>
      </c>
      <c r="O9" s="33">
        <v>37.465628846381797</v>
      </c>
    </row>
    <row r="10" spans="1:15" x14ac:dyDescent="0.3">
      <c r="A10">
        <v>6</v>
      </c>
      <c r="B10" s="35">
        <v>36.549153005801401</v>
      </c>
      <c r="C10" s="32">
        <v>6</v>
      </c>
      <c r="D10" s="35">
        <v>36.549153005801401</v>
      </c>
      <c r="E10" s="33">
        <v>36.761357300853298</v>
      </c>
      <c r="F10" s="33">
        <v>37.037390449303899</v>
      </c>
      <c r="G10" s="33">
        <v>37.198607975114697</v>
      </c>
      <c r="H10" s="33">
        <v>37.513469843840902</v>
      </c>
      <c r="I10" s="33">
        <v>37.647736850150999</v>
      </c>
      <c r="J10" s="33">
        <v>37.5377454924975</v>
      </c>
      <c r="K10" s="33">
        <v>37.701188758174197</v>
      </c>
      <c r="L10" s="33">
        <v>37.786519303676499</v>
      </c>
      <c r="M10" s="33">
        <v>37.926503243808902</v>
      </c>
      <c r="N10" s="33">
        <v>37.9265042438089</v>
      </c>
      <c r="O10" s="33">
        <v>38.025334387028799</v>
      </c>
    </row>
    <row r="11" spans="1:15" x14ac:dyDescent="0.3">
      <c r="A11">
        <v>7</v>
      </c>
      <c r="B11" s="35">
        <v>36.547956084719999</v>
      </c>
      <c r="C11" s="32">
        <v>7</v>
      </c>
      <c r="D11" s="35">
        <v>36.547956084719999</v>
      </c>
      <c r="E11" s="33">
        <v>36.767003467329303</v>
      </c>
      <c r="F11" s="33">
        <v>37.036772761476897</v>
      </c>
      <c r="G11" s="33">
        <v>37.189844441722997</v>
      </c>
      <c r="H11" s="33">
        <v>37.488152992310098</v>
      </c>
      <c r="I11" s="33">
        <v>37.620984834940003</v>
      </c>
      <c r="J11" s="33">
        <v>36.479464504460502</v>
      </c>
      <c r="K11" s="33">
        <v>36.785685234341102</v>
      </c>
      <c r="L11" s="33">
        <v>36.850721742956701</v>
      </c>
      <c r="M11" s="33">
        <v>36.962698119452902</v>
      </c>
      <c r="N11" s="33">
        <v>36.9626991194529</v>
      </c>
      <c r="O11" s="33">
        <v>36.962700119452897</v>
      </c>
    </row>
    <row r="12" spans="1:15" x14ac:dyDescent="0.3">
      <c r="A12">
        <v>8</v>
      </c>
      <c r="B12" s="35">
        <v>35.8377970600338</v>
      </c>
      <c r="C12" s="32">
        <v>8</v>
      </c>
      <c r="D12" s="35">
        <v>35.8377970600338</v>
      </c>
      <c r="E12" s="33">
        <v>36.215713599997798</v>
      </c>
      <c r="F12" s="33">
        <v>36.468512228300703</v>
      </c>
      <c r="G12" s="33">
        <v>36.612735625848799</v>
      </c>
      <c r="H12" s="33">
        <v>36.896048357618</v>
      </c>
      <c r="I12" s="33">
        <v>37.0021169370997</v>
      </c>
      <c r="J12" s="33">
        <v>36.997889811759002</v>
      </c>
      <c r="K12" s="33">
        <v>37.235964359780603</v>
      </c>
      <c r="L12" s="33">
        <v>37.309588830314297</v>
      </c>
      <c r="M12" s="33">
        <v>37.447394445002701</v>
      </c>
      <c r="N12" s="33">
        <v>37.447395445002698</v>
      </c>
      <c r="O12" s="33">
        <v>37.492187200079201</v>
      </c>
    </row>
    <row r="13" spans="1:15" x14ac:dyDescent="0.3">
      <c r="A13">
        <v>9</v>
      </c>
      <c r="B13" s="35">
        <v>36.960384721131298</v>
      </c>
      <c r="C13" s="32">
        <v>9</v>
      </c>
      <c r="D13" s="35">
        <v>36.960384721131298</v>
      </c>
      <c r="E13" s="33">
        <v>37.080633906910599</v>
      </c>
      <c r="F13" s="33">
        <v>37.3465824780627</v>
      </c>
      <c r="G13" s="33">
        <v>37.506026560647499</v>
      </c>
      <c r="H13" s="33">
        <v>37.812694337772001</v>
      </c>
      <c r="I13" s="33">
        <v>37.962596791154503</v>
      </c>
      <c r="J13" s="33">
        <v>37.437707230352899</v>
      </c>
      <c r="K13" s="33">
        <v>37.615143571814301</v>
      </c>
      <c r="L13" s="33">
        <v>37.702745785164097</v>
      </c>
      <c r="M13" s="33">
        <v>37.841320100886001</v>
      </c>
      <c r="N13" s="33">
        <v>37.841321100885999</v>
      </c>
      <c r="O13" s="33">
        <v>37.922644232830301</v>
      </c>
    </row>
    <row r="14" spans="1:15" x14ac:dyDescent="0.3">
      <c r="A14">
        <v>10</v>
      </c>
      <c r="B14" s="35">
        <v>36.791469310775398</v>
      </c>
      <c r="C14" s="32">
        <v>10</v>
      </c>
      <c r="D14" s="35">
        <v>36.791469310775398</v>
      </c>
      <c r="E14" s="33">
        <v>36.949008452144902</v>
      </c>
      <c r="F14" s="33">
        <v>37.217307910744502</v>
      </c>
      <c r="G14" s="33">
        <v>37.436011673762003</v>
      </c>
      <c r="H14" s="33">
        <v>37.777417573152299</v>
      </c>
      <c r="I14" s="33">
        <v>37.923336545849899</v>
      </c>
      <c r="J14" s="33">
        <v>36.884272437075801</v>
      </c>
      <c r="K14" s="33">
        <v>37.136244875555803</v>
      </c>
      <c r="L14" s="33">
        <v>37.207439780808997</v>
      </c>
      <c r="M14" s="33">
        <v>37.325909119099698</v>
      </c>
      <c r="N14" s="33">
        <v>37.325910119099703</v>
      </c>
      <c r="O14" s="33">
        <v>37.362208184017398</v>
      </c>
    </row>
    <row r="15" spans="1:15" x14ac:dyDescent="0.3">
      <c r="A15">
        <v>11</v>
      </c>
      <c r="B15" s="35">
        <v>36.295069132637899</v>
      </c>
      <c r="C15" s="32">
        <v>11</v>
      </c>
      <c r="D15" s="35">
        <v>36.295069132637899</v>
      </c>
      <c r="E15" s="33">
        <v>36.616843849420597</v>
      </c>
      <c r="F15" s="33">
        <v>36.873877738001397</v>
      </c>
      <c r="G15" s="33">
        <v>37.024291656966199</v>
      </c>
      <c r="H15" s="33">
        <v>37.317070648310903</v>
      </c>
      <c r="I15" s="33">
        <v>37.446616227917701</v>
      </c>
      <c r="J15" s="33">
        <v>36.933021073131897</v>
      </c>
      <c r="K15" s="33">
        <v>37.174328819105597</v>
      </c>
      <c r="L15" s="33">
        <v>37.246627314766798</v>
      </c>
      <c r="M15" s="33">
        <v>37.364630570514997</v>
      </c>
      <c r="N15" s="33">
        <v>37.364631570515002</v>
      </c>
      <c r="O15" s="33">
        <v>37.4027822435338</v>
      </c>
    </row>
    <row r="16" spans="1:15" x14ac:dyDescent="0.3">
      <c r="A16">
        <v>12</v>
      </c>
      <c r="B16" s="35">
        <v>36.478853629299799</v>
      </c>
      <c r="C16" s="32">
        <v>12</v>
      </c>
      <c r="D16" s="35">
        <v>36.478853629299799</v>
      </c>
      <c r="E16" s="33">
        <v>36.722552399124098</v>
      </c>
      <c r="F16" s="33">
        <v>36.981346586325202</v>
      </c>
      <c r="G16" s="33">
        <v>37.152867358622899</v>
      </c>
      <c r="H16" s="33">
        <v>37.454053985413402</v>
      </c>
      <c r="I16" s="33">
        <v>37.589299770326598</v>
      </c>
      <c r="J16" s="33">
        <v>37.0846164763419</v>
      </c>
      <c r="K16" s="33">
        <v>37.305031231243802</v>
      </c>
      <c r="L16" s="33">
        <v>37.398501283956499</v>
      </c>
      <c r="M16" s="33">
        <v>37.531882533138102</v>
      </c>
      <c r="N16" s="33">
        <v>37.5318835331381</v>
      </c>
      <c r="O16" s="33">
        <v>37.580581210224501</v>
      </c>
    </row>
    <row r="17" spans="1:15" x14ac:dyDescent="0.3">
      <c r="A17">
        <v>13</v>
      </c>
      <c r="B17" s="35">
        <v>36.752921459210299</v>
      </c>
      <c r="C17" s="32">
        <v>13</v>
      </c>
      <c r="D17" s="35">
        <v>36.752921459210299</v>
      </c>
      <c r="E17" s="33">
        <v>36.916286284882197</v>
      </c>
      <c r="F17" s="33">
        <v>37.198518617754303</v>
      </c>
      <c r="G17" s="33">
        <v>37.365797918165498</v>
      </c>
      <c r="H17" s="33">
        <v>37.701080130721202</v>
      </c>
      <c r="I17" s="33">
        <v>37.858759292850998</v>
      </c>
      <c r="J17" s="33">
        <v>37.496212928883999</v>
      </c>
      <c r="K17" s="33">
        <v>37.694118091386002</v>
      </c>
      <c r="L17" s="33">
        <v>37.778614727687902</v>
      </c>
      <c r="M17" s="33">
        <v>37.917025878184802</v>
      </c>
      <c r="N17" s="33">
        <v>37.917026878184799</v>
      </c>
      <c r="O17" s="33">
        <v>38.010973622840801</v>
      </c>
    </row>
    <row r="18" spans="1:15" x14ac:dyDescent="0.3">
      <c r="A18">
        <v>14</v>
      </c>
      <c r="B18" s="35">
        <v>36.4424886860143</v>
      </c>
      <c r="C18" s="32">
        <v>14</v>
      </c>
      <c r="D18" s="35">
        <v>36.4424886860143</v>
      </c>
      <c r="E18" s="33">
        <v>36.680304914184099</v>
      </c>
      <c r="F18" s="33">
        <v>36.938680060600497</v>
      </c>
      <c r="G18" s="33">
        <v>37.091505170550398</v>
      </c>
      <c r="H18" s="33">
        <v>37.444799610607298</v>
      </c>
      <c r="I18" s="33">
        <v>37.586087824275097</v>
      </c>
      <c r="J18" s="33">
        <v>36.9433970588249</v>
      </c>
      <c r="K18" s="33">
        <v>37.192833069582797</v>
      </c>
      <c r="L18" s="33">
        <v>37.267389234026702</v>
      </c>
      <c r="M18" s="33">
        <v>37.392074746100498</v>
      </c>
      <c r="N18" s="33">
        <v>37.392075746100502</v>
      </c>
      <c r="O18" s="33">
        <v>37.429503182161397</v>
      </c>
    </row>
    <row r="19" spans="1:15" x14ac:dyDescent="0.3">
      <c r="A19">
        <v>15</v>
      </c>
      <c r="B19" s="35">
        <v>36.4500231325774</v>
      </c>
      <c r="C19" s="32">
        <v>15</v>
      </c>
      <c r="D19" s="35">
        <v>36.4500231325774</v>
      </c>
      <c r="E19" s="33">
        <v>36.7125595209205</v>
      </c>
      <c r="F19" s="33">
        <v>36.979956329567003</v>
      </c>
      <c r="G19" s="33">
        <v>37.136328838711997</v>
      </c>
      <c r="H19" s="33">
        <v>37.451684193039</v>
      </c>
      <c r="I19" s="33">
        <v>37.583702073042303</v>
      </c>
      <c r="J19" s="33">
        <v>36.993979283677902</v>
      </c>
      <c r="K19" s="33">
        <v>37.227249517101498</v>
      </c>
      <c r="L19" s="33">
        <v>37.303092802250397</v>
      </c>
      <c r="M19" s="33">
        <v>37.4312916988425</v>
      </c>
      <c r="N19" s="33">
        <v>37.431292698842498</v>
      </c>
      <c r="O19" s="33">
        <v>37.475760599480601</v>
      </c>
    </row>
    <row r="20" spans="1:15" x14ac:dyDescent="0.3">
      <c r="A20">
        <v>16</v>
      </c>
      <c r="B20" s="35">
        <v>35.959872927855898</v>
      </c>
      <c r="C20" s="32">
        <v>16</v>
      </c>
      <c r="D20" s="35">
        <v>35.959872927855898</v>
      </c>
      <c r="E20" s="33">
        <v>36.300935909057401</v>
      </c>
      <c r="F20" s="33">
        <v>36.551126926673199</v>
      </c>
      <c r="G20" s="33">
        <v>36.698072172978797</v>
      </c>
      <c r="H20" s="33">
        <v>36.983543235750098</v>
      </c>
      <c r="I20" s="33">
        <v>37.097881953855598</v>
      </c>
      <c r="J20" s="33">
        <v>36.996478469663998</v>
      </c>
      <c r="K20" s="33">
        <v>37.246688698788901</v>
      </c>
      <c r="L20" s="33">
        <v>37.330315414210197</v>
      </c>
      <c r="M20" s="33">
        <v>37.452070942101102</v>
      </c>
      <c r="N20" s="33">
        <v>37.452071942101099</v>
      </c>
      <c r="O20" s="33">
        <v>37.4969066172089</v>
      </c>
    </row>
    <row r="21" spans="1:15" x14ac:dyDescent="0.3">
      <c r="A21">
        <v>17</v>
      </c>
      <c r="B21" s="35">
        <v>36.772876200785497</v>
      </c>
      <c r="C21" s="32">
        <v>17</v>
      </c>
      <c r="D21" s="35">
        <v>36.772876200785497</v>
      </c>
      <c r="E21" s="33">
        <v>36.930964178832298</v>
      </c>
      <c r="F21" s="33">
        <v>37.196599475322301</v>
      </c>
      <c r="G21" s="33">
        <v>37.355132572839899</v>
      </c>
      <c r="H21" s="33">
        <v>37.658806711611298</v>
      </c>
      <c r="I21" s="33">
        <v>37.831285294127902</v>
      </c>
      <c r="J21" s="33">
        <v>37.6816379195186</v>
      </c>
      <c r="K21" s="33">
        <v>37.8264387636805</v>
      </c>
      <c r="L21" s="33">
        <v>37.917749501836802</v>
      </c>
      <c r="M21" s="33">
        <v>38.063119981687798</v>
      </c>
      <c r="N21" s="33">
        <v>38.063120981687803</v>
      </c>
      <c r="O21" s="33">
        <v>38.171068084707002</v>
      </c>
    </row>
    <row r="22" spans="1:15" x14ac:dyDescent="0.3">
      <c r="A22">
        <v>18</v>
      </c>
      <c r="B22" s="35">
        <v>36.598478233592402</v>
      </c>
      <c r="C22" s="32">
        <v>18</v>
      </c>
      <c r="D22" s="35">
        <v>36.598478233592402</v>
      </c>
      <c r="E22" s="33">
        <v>36.798648647668401</v>
      </c>
      <c r="F22" s="33">
        <v>37.064592182363199</v>
      </c>
      <c r="G22" s="33">
        <v>37.224747694415598</v>
      </c>
      <c r="H22" s="33">
        <v>37.5215027505525</v>
      </c>
      <c r="I22" s="33">
        <v>37.660713890222297</v>
      </c>
      <c r="J22" s="33">
        <v>37.676670006464398</v>
      </c>
      <c r="K22" s="33">
        <v>37.836610404967402</v>
      </c>
      <c r="L22" s="33">
        <v>37.926939837809201</v>
      </c>
      <c r="M22" s="33">
        <v>38.075538312933602</v>
      </c>
      <c r="N22" s="33">
        <v>38.0755393129336</v>
      </c>
      <c r="O22" s="33">
        <v>38.1861221427719</v>
      </c>
    </row>
    <row r="23" spans="1:15" x14ac:dyDescent="0.3">
      <c r="A23">
        <v>19</v>
      </c>
      <c r="B23" s="35">
        <v>36.659450397289199</v>
      </c>
      <c r="C23" s="32">
        <v>19</v>
      </c>
      <c r="D23" s="35">
        <v>36.659450397289199</v>
      </c>
      <c r="E23" s="33">
        <v>36.848074706806898</v>
      </c>
      <c r="F23" s="33">
        <v>37.1289103533923</v>
      </c>
      <c r="G23" s="33">
        <v>37.2853471778554</v>
      </c>
      <c r="H23" s="33">
        <v>37.596273145390803</v>
      </c>
      <c r="I23" s="33">
        <v>37.751443326911897</v>
      </c>
      <c r="J23" s="33">
        <v>37.369748119213597</v>
      </c>
      <c r="K23" s="33">
        <v>37.566377422595899</v>
      </c>
      <c r="L23" s="33">
        <v>37.648712307833698</v>
      </c>
      <c r="M23" s="33">
        <v>37.779796559924101</v>
      </c>
      <c r="N23" s="33">
        <v>37.779797559924098</v>
      </c>
      <c r="O23" s="33">
        <v>37.856321131455999</v>
      </c>
    </row>
    <row r="24" spans="1:15" x14ac:dyDescent="0.3">
      <c r="A24">
        <v>20</v>
      </c>
      <c r="B24" s="35">
        <v>35.930199269491602</v>
      </c>
      <c r="C24" s="32">
        <v>20</v>
      </c>
      <c r="D24" s="35">
        <v>35.930199269491602</v>
      </c>
      <c r="E24" s="33">
        <v>36.275129780114902</v>
      </c>
      <c r="F24" s="33">
        <v>36.530765709512401</v>
      </c>
      <c r="G24" s="33">
        <v>36.6741972351752</v>
      </c>
      <c r="H24" s="33">
        <v>36.958666757471697</v>
      </c>
      <c r="I24" s="33">
        <v>37.075680075953898</v>
      </c>
      <c r="J24" s="33">
        <v>37.209409996855101</v>
      </c>
      <c r="K24" s="33">
        <v>37.420559635303697</v>
      </c>
      <c r="L24" s="33">
        <v>37.499046487636598</v>
      </c>
      <c r="M24" s="33">
        <v>37.6286449229057</v>
      </c>
      <c r="N24" s="33">
        <v>37.628645922905697</v>
      </c>
      <c r="O24" s="33">
        <v>37.690368402637901</v>
      </c>
    </row>
    <row r="25" spans="1:15" x14ac:dyDescent="0.3">
      <c r="A25">
        <v>21</v>
      </c>
      <c r="B25" s="35">
        <v>37.216714730903099</v>
      </c>
      <c r="C25" s="32">
        <v>21</v>
      </c>
      <c r="D25" s="35">
        <v>37.216714730903099</v>
      </c>
      <c r="E25" s="33">
        <v>37.283426220129897</v>
      </c>
      <c r="F25" s="33">
        <v>37.552190420258697</v>
      </c>
      <c r="G25" s="33">
        <v>37.717444870766201</v>
      </c>
      <c r="H25" s="33">
        <v>38.032703697930799</v>
      </c>
      <c r="I25" s="33">
        <v>38.194434106647002</v>
      </c>
      <c r="J25" s="33">
        <v>37.300542627944097</v>
      </c>
      <c r="K25" s="33">
        <v>37.494640702070903</v>
      </c>
      <c r="L25" s="33">
        <v>37.575933389334402</v>
      </c>
      <c r="M25" s="33">
        <v>37.704429686861701</v>
      </c>
      <c r="N25" s="33">
        <v>37.704430686861699</v>
      </c>
      <c r="O25" s="33">
        <v>37.7752492593022</v>
      </c>
    </row>
    <row r="26" spans="1:15" x14ac:dyDescent="0.3">
      <c r="A26" s="27"/>
      <c r="C26" s="37" t="s">
        <v>38</v>
      </c>
      <c r="D26" s="38">
        <f t="shared" ref="D26:I26" si="0">AVERAGE(D5:D25)-AVERAGE($B5:$B25)</f>
        <v>0</v>
      </c>
      <c r="E26" s="38">
        <f t="shared" si="0"/>
        <v>0.21999999999999176</v>
      </c>
      <c r="F26" s="38">
        <f t="shared" si="0"/>
        <v>0.4900000000000162</v>
      </c>
      <c r="G26" s="38">
        <f t="shared" si="0"/>
        <v>0.64999999999999858</v>
      </c>
      <c r="H26" s="38">
        <f t="shared" si="0"/>
        <v>0.96000000000000796</v>
      </c>
      <c r="I26" s="38">
        <f t="shared" si="0"/>
        <v>1.1000000000000156</v>
      </c>
      <c r="J26" s="45">
        <f>AVERAGE(J5:J25)-AVERAGE($J5:$J25)</f>
        <v>0</v>
      </c>
      <c r="K26" s="45">
        <f t="shared" ref="K26:O26" si="1">AVERAGE(K5:K25)-AVERAGE($J5:$J25)</f>
        <v>0.22341667000000598</v>
      </c>
      <c r="L26" s="45">
        <f t="shared" si="1"/>
        <v>0.30341667000000427</v>
      </c>
      <c r="M26" s="45">
        <f t="shared" si="1"/>
        <v>0.43341667000000683</v>
      </c>
      <c r="N26" s="45">
        <f t="shared" si="1"/>
        <v>0.43341767000000431</v>
      </c>
      <c r="O26" s="45">
        <f t="shared" si="1"/>
        <v>0.49343018913128134</v>
      </c>
    </row>
    <row r="27" spans="1:15" x14ac:dyDescent="0.3">
      <c r="A27" s="27"/>
      <c r="C27" s="40" t="s">
        <v>35</v>
      </c>
      <c r="D27" s="41">
        <f>AVERAGE(D5:D25)</f>
        <v>36.539999999999949</v>
      </c>
      <c r="E27" s="41">
        <f t="shared" ref="E27:O27" si="2">AVERAGE(E5:E25)</f>
        <v>36.759999999999941</v>
      </c>
      <c r="F27" s="41">
        <f t="shared" si="2"/>
        <v>37.029999999999966</v>
      </c>
      <c r="G27" s="41">
        <f t="shared" si="2"/>
        <v>37.189999999999948</v>
      </c>
      <c r="H27" s="41">
        <f t="shared" si="2"/>
        <v>37.499999999999957</v>
      </c>
      <c r="I27" s="41">
        <f t="shared" si="2"/>
        <v>37.639999999999965</v>
      </c>
      <c r="J27" s="46">
        <f t="shared" si="2"/>
        <v>37.146583329999942</v>
      </c>
      <c r="K27" s="46">
        <f t="shared" si="2"/>
        <v>37.369999999999948</v>
      </c>
      <c r="L27" s="46">
        <f t="shared" si="2"/>
        <v>37.449999999999946</v>
      </c>
      <c r="M27" s="46">
        <f t="shared" si="2"/>
        <v>37.579999999999949</v>
      </c>
      <c r="N27" s="46">
        <f t="shared" si="2"/>
        <v>37.580000999999946</v>
      </c>
      <c r="O27" s="46">
        <f t="shared" si="2"/>
        <v>37.640013519131223</v>
      </c>
    </row>
    <row r="28" spans="1:15" x14ac:dyDescent="0.3">
      <c r="A28" s="27"/>
      <c r="C28" s="42" t="s">
        <v>15</v>
      </c>
      <c r="D28" s="41">
        <f>STDEV(D5:D25)</f>
        <v>0.37000000000000549</v>
      </c>
      <c r="E28" s="41">
        <f t="shared" ref="E28:O28" si="3">STDEV(E5:E25)</f>
        <v>0.28609594150552636</v>
      </c>
      <c r="F28" s="41">
        <f t="shared" si="3"/>
        <v>0.29118715315253596</v>
      </c>
      <c r="G28" s="41">
        <f t="shared" si="3"/>
        <v>0.29911513377860693</v>
      </c>
      <c r="H28" s="41">
        <f t="shared" si="3"/>
        <v>0.31040983512829157</v>
      </c>
      <c r="I28" s="41">
        <f t="shared" si="3"/>
        <v>0.32504325376575527</v>
      </c>
      <c r="J28" s="46">
        <f t="shared" si="3"/>
        <v>0.31999999999999168</v>
      </c>
      <c r="K28" s="46">
        <f t="shared" si="3"/>
        <v>0.27694834512141547</v>
      </c>
      <c r="L28" s="46">
        <f t="shared" si="3"/>
        <v>0.28298121768465367</v>
      </c>
      <c r="M28" s="46">
        <f t="shared" si="3"/>
        <v>0.29231301601391957</v>
      </c>
      <c r="N28" s="46">
        <f t="shared" si="3"/>
        <v>0.2923130160139189</v>
      </c>
      <c r="O28" s="46">
        <f t="shared" si="3"/>
        <v>0.32067990137239483</v>
      </c>
    </row>
    <row r="29" spans="1:15" x14ac:dyDescent="0.3">
      <c r="A29" s="27"/>
      <c r="B29" s="28"/>
      <c r="C29" s="37" t="s">
        <v>27</v>
      </c>
      <c r="D29" s="39">
        <f>MEDIAN(D5:D25)</f>
        <v>36.549153005801401</v>
      </c>
      <c r="E29" s="39">
        <f t="shared" ref="E29:O29" si="4">MEDIAN(E5:E25)</f>
        <v>36.767003467329303</v>
      </c>
      <c r="F29" s="39">
        <f t="shared" si="4"/>
        <v>37.037390449303899</v>
      </c>
      <c r="G29" s="39">
        <f t="shared" si="4"/>
        <v>37.198607975114697</v>
      </c>
      <c r="H29" s="39">
        <f t="shared" si="4"/>
        <v>37.501644938760101</v>
      </c>
      <c r="I29" s="39">
        <f t="shared" si="4"/>
        <v>37.638173480836997</v>
      </c>
      <c r="J29" s="46">
        <f t="shared" si="4"/>
        <v>37.0846164763419</v>
      </c>
      <c r="K29" s="46">
        <f t="shared" si="4"/>
        <v>37.305031231243802</v>
      </c>
      <c r="L29" s="46">
        <f t="shared" si="4"/>
        <v>37.398501283956499</v>
      </c>
      <c r="M29" s="46">
        <f t="shared" si="4"/>
        <v>37.531882533138102</v>
      </c>
      <c r="N29" s="46">
        <f t="shared" si="4"/>
        <v>37.5318835331381</v>
      </c>
      <c r="O29" s="46">
        <f t="shared" si="4"/>
        <v>37.580581210224501</v>
      </c>
    </row>
    <row r="30" spans="1:15" x14ac:dyDescent="0.3">
      <c r="A30" s="27"/>
    </row>
    <row r="31" spans="1:15" x14ac:dyDescent="0.3">
      <c r="A31" s="27"/>
      <c r="J31" s="28"/>
      <c r="K31" s="28"/>
      <c r="L31" s="28"/>
      <c r="M31" s="28"/>
      <c r="N31" s="28"/>
      <c r="O31" s="28"/>
    </row>
    <row r="32" spans="1:15" x14ac:dyDescent="0.3">
      <c r="A32" s="27"/>
      <c r="J32" s="28"/>
      <c r="K32" s="28"/>
      <c r="L32" s="28"/>
      <c r="M32" s="28"/>
      <c r="N32" s="28"/>
      <c r="O32" s="28"/>
    </row>
    <row r="33" spans="1:15" x14ac:dyDescent="0.3">
      <c r="A33" s="27"/>
      <c r="J33" s="28"/>
      <c r="K33" s="28"/>
      <c r="L33" s="28"/>
      <c r="M33" s="28"/>
      <c r="N33" s="28"/>
      <c r="O33" s="28"/>
    </row>
    <row r="34" spans="1:15" x14ac:dyDescent="0.3">
      <c r="A34" s="27"/>
      <c r="D34" s="73" t="s">
        <v>39</v>
      </c>
      <c r="E34" s="74"/>
      <c r="F34" s="74"/>
      <c r="G34" s="74"/>
      <c r="H34" s="74"/>
      <c r="I34" s="74"/>
      <c r="J34" s="75" t="s">
        <v>40</v>
      </c>
      <c r="K34" s="76"/>
      <c r="L34" s="76"/>
      <c r="M34" s="76"/>
      <c r="N34" s="76"/>
      <c r="O34" s="76"/>
    </row>
    <row r="35" spans="1:15" x14ac:dyDescent="0.3">
      <c r="C35" s="31" t="s">
        <v>37</v>
      </c>
      <c r="D35" s="34">
        <v>0</v>
      </c>
      <c r="E35" s="34">
        <v>5.5555555555559799E-3</v>
      </c>
      <c r="F35" s="34">
        <v>1.1111111111110961E-2</v>
      </c>
      <c r="G35" s="34">
        <v>1.6666666666666996E-2</v>
      </c>
      <c r="H35" s="34">
        <v>2.2222222222222976E-2</v>
      </c>
      <c r="I35" s="34">
        <v>2.7777777777777957E-2</v>
      </c>
      <c r="J35" s="36">
        <v>0</v>
      </c>
      <c r="K35" s="36">
        <v>5.5555555555559799E-3</v>
      </c>
      <c r="L35" s="36">
        <v>1.1111111111110961E-2</v>
      </c>
      <c r="M35" s="36">
        <v>1.6666666666666996E-2</v>
      </c>
      <c r="N35" s="36">
        <v>2.2222222222222976E-2</v>
      </c>
      <c r="O35" s="36">
        <v>2.7777777777777957E-2</v>
      </c>
    </row>
    <row r="36" spans="1:15" x14ac:dyDescent="0.3">
      <c r="A36" s="27" t="s">
        <v>37</v>
      </c>
      <c r="B36" t="s">
        <v>36</v>
      </c>
      <c r="C36" s="32">
        <v>1</v>
      </c>
      <c r="D36" s="33">
        <f t="shared" ref="D36:I36" si="5">D5-$B$5</f>
        <v>0</v>
      </c>
      <c r="E36" s="33">
        <f t="shared" si="5"/>
        <v>6.2176305700205603E-2</v>
      </c>
      <c r="F36" s="33">
        <f t="shared" si="5"/>
        <v>0.35296321799430075</v>
      </c>
      <c r="G36" s="33">
        <f t="shared" si="5"/>
        <v>0.51746251130900589</v>
      </c>
      <c r="H36" s="33">
        <f t="shared" si="5"/>
        <v>0.84531381675040507</v>
      </c>
      <c r="I36" s="33">
        <f t="shared" si="5"/>
        <v>1.0054088936709036</v>
      </c>
      <c r="J36" s="47">
        <f t="shared" ref="J36:J56" si="6">J5-J5</f>
        <v>0</v>
      </c>
      <c r="K36" s="47">
        <f>K5-$J$5</f>
        <v>0.32201761303659993</v>
      </c>
      <c r="L36" s="47">
        <f>L5-$J$5</f>
        <v>0.39518474095579847</v>
      </c>
      <c r="M36" s="47">
        <f>M5-$J$5</f>
        <v>0.51393291027930132</v>
      </c>
      <c r="N36" s="47">
        <f>N5-$J$5</f>
        <v>0.5139339102792988</v>
      </c>
      <c r="O36" s="47">
        <f>O5-$J$5</f>
        <v>0.54846664107679999</v>
      </c>
    </row>
    <row r="37" spans="1:15" x14ac:dyDescent="0.3">
      <c r="A37">
        <v>1</v>
      </c>
      <c r="B37" s="29">
        <v>36.979999999999997</v>
      </c>
      <c r="C37" s="32">
        <v>2</v>
      </c>
      <c r="D37" s="33">
        <f t="shared" ref="D37:D56" si="7">D6-B6</f>
        <v>0</v>
      </c>
      <c r="E37" s="33">
        <f>E6-$B$6</f>
        <v>0.25258566450349917</v>
      </c>
      <c r="F37" s="33">
        <f>F6-$B$6</f>
        <v>0.53588212084639508</v>
      </c>
      <c r="G37" s="33">
        <f>G6-$B$6</f>
        <v>0.69632147447779857</v>
      </c>
      <c r="H37" s="33">
        <f>H6-$B$6</f>
        <v>0.9907615145034967</v>
      </c>
      <c r="I37" s="33">
        <f>I6-$B$6</f>
        <v>1.1269689401107001</v>
      </c>
      <c r="J37" s="47">
        <f t="shared" si="6"/>
        <v>0</v>
      </c>
      <c r="K37" s="47">
        <f>K6-$J$6</f>
        <v>0.19933830478590409</v>
      </c>
      <c r="L37" s="47">
        <f>L6-$J$6</f>
        <v>0.28101998341470136</v>
      </c>
      <c r="M37" s="47">
        <f>M6-$J$6</f>
        <v>0.43001152504220386</v>
      </c>
      <c r="N37" s="47">
        <f>N6-$J$6</f>
        <v>0.43001252504220133</v>
      </c>
      <c r="O37" s="47">
        <f>O6-$J$6</f>
        <v>0.5113636582333001</v>
      </c>
    </row>
    <row r="38" spans="1:15" x14ac:dyDescent="0.3">
      <c r="A38">
        <v>2</v>
      </c>
      <c r="B38" s="30">
        <v>36.909999999999997</v>
      </c>
      <c r="C38" s="32">
        <v>3</v>
      </c>
      <c r="D38" s="33">
        <f t="shared" si="7"/>
        <v>0</v>
      </c>
      <c r="E38" s="33">
        <f>E7-$B$7</f>
        <v>0.20722707515309935</v>
      </c>
      <c r="F38" s="33">
        <f>F7-$B$7</f>
        <v>0.48119871032790229</v>
      </c>
      <c r="G38" s="33">
        <f>G7-$B$7</f>
        <v>0.63708468862670031</v>
      </c>
      <c r="H38" s="33">
        <f>H7-$B$7</f>
        <v>0.94003884379640112</v>
      </c>
      <c r="I38" s="33">
        <f>I7-$B$7</f>
        <v>1.0765673858732967</v>
      </c>
      <c r="J38" s="47">
        <f t="shared" si="6"/>
        <v>0</v>
      </c>
      <c r="K38" s="47">
        <f>K7-$J$7</f>
        <v>0.20894611405060459</v>
      </c>
      <c r="L38" s="47">
        <f>L7-$J$7</f>
        <v>0.28677515690060318</v>
      </c>
      <c r="M38" s="47">
        <f>M7-$J$7</f>
        <v>0.4138569433069037</v>
      </c>
      <c r="N38" s="47">
        <f>N7-$J$7</f>
        <v>0.41385794330690118</v>
      </c>
      <c r="O38" s="47">
        <f>O7-$J$7</f>
        <v>0.47523162262650231</v>
      </c>
    </row>
    <row r="39" spans="1:15" x14ac:dyDescent="0.3">
      <c r="A39">
        <v>3</v>
      </c>
      <c r="B39" s="30">
        <v>37.21</v>
      </c>
      <c r="C39" s="32">
        <v>4</v>
      </c>
      <c r="D39" s="33">
        <f t="shared" si="7"/>
        <v>0</v>
      </c>
      <c r="E39" s="33">
        <f>E8-$B$8</f>
        <v>0.19416834015250117</v>
      </c>
      <c r="F39" s="33">
        <f>F8-$B$8</f>
        <v>0.46176317194370142</v>
      </c>
      <c r="G39" s="33">
        <f>G8-$B$8</f>
        <v>0.62573020608190433</v>
      </c>
      <c r="H39" s="33">
        <f>H8-$B$8</f>
        <v>0.95468538253370383</v>
      </c>
      <c r="I39" s="33">
        <f>I8-$B$8</f>
        <v>1.104061666740705</v>
      </c>
      <c r="J39" s="47">
        <f t="shared" si="6"/>
        <v>0</v>
      </c>
      <c r="K39" s="47">
        <f>K8-$J$8</f>
        <v>0.28181651194130097</v>
      </c>
      <c r="L39" s="47">
        <f>L8-$J$8</f>
        <v>0.35286740227279978</v>
      </c>
      <c r="M39" s="47">
        <f>M8-$J$8</f>
        <v>0.47457126255649484</v>
      </c>
      <c r="N39" s="47">
        <f>N8-$J$8</f>
        <v>0.47457226255649942</v>
      </c>
      <c r="O39" s="47">
        <f>O8-$J$8</f>
        <v>0.50247152897379976</v>
      </c>
    </row>
    <row r="40" spans="1:15" x14ac:dyDescent="0.3">
      <c r="A40">
        <v>4</v>
      </c>
      <c r="B40" s="30">
        <v>37.19</v>
      </c>
      <c r="C40" s="32">
        <v>5</v>
      </c>
      <c r="D40" s="33">
        <f t="shared" si="7"/>
        <v>0</v>
      </c>
      <c r="E40" s="33">
        <f>E9-$B$9</f>
        <v>0.2881074582326022</v>
      </c>
      <c r="F40" s="33">
        <f>F9-$B$9</f>
        <v>0.59877053334800223</v>
      </c>
      <c r="G40" s="33">
        <f>G9-$B$9</f>
        <v>0.7481501574795999</v>
      </c>
      <c r="H40" s="33">
        <f>H9-$B$9</f>
        <v>1.0649404530430004</v>
      </c>
      <c r="I40" s="33">
        <f>I9-$B$9</f>
        <v>1.1980253003973971</v>
      </c>
      <c r="J40" s="47">
        <f t="shared" si="6"/>
        <v>0</v>
      </c>
      <c r="K40" s="47">
        <f>K9-$J$9</f>
        <v>0.24332180735880371</v>
      </c>
      <c r="L40" s="47">
        <f>L9-$J$9</f>
        <v>0.32875847885269849</v>
      </c>
      <c r="M40" s="47">
        <f>M9-$J$9</f>
        <v>0.44784000403630131</v>
      </c>
      <c r="N40" s="47">
        <f>N9-$J$9</f>
        <v>0.44784100403629878</v>
      </c>
      <c r="O40" s="47">
        <f>O9-$J$9</f>
        <v>0.50658333777919751</v>
      </c>
    </row>
    <row r="41" spans="1:15" x14ac:dyDescent="0.3">
      <c r="A41">
        <v>5</v>
      </c>
      <c r="B41" s="30">
        <v>37.409999999999997</v>
      </c>
      <c r="C41" s="32">
        <v>6</v>
      </c>
      <c r="D41" s="33">
        <f t="shared" si="7"/>
        <v>0</v>
      </c>
      <c r="E41" s="33">
        <f>E10-$B$10</f>
        <v>0.21220429505189742</v>
      </c>
      <c r="F41" s="33">
        <f>F10-$B$10</f>
        <v>0.48823744350249854</v>
      </c>
      <c r="G41" s="33">
        <f>G10-$B$10</f>
        <v>0.64945496931329671</v>
      </c>
      <c r="H41" s="33">
        <f>H10-$B$10</f>
        <v>0.96431683803950108</v>
      </c>
      <c r="I41" s="33">
        <f>I10-$B$10</f>
        <v>1.0985838443495979</v>
      </c>
      <c r="J41" s="47">
        <f t="shared" si="6"/>
        <v>0</v>
      </c>
      <c r="K41" s="47">
        <f>K10-$J$10</f>
        <v>0.16344326567669754</v>
      </c>
      <c r="L41" s="47">
        <f>L10-$J$10</f>
        <v>0.24877381117899944</v>
      </c>
      <c r="M41" s="47">
        <f>M10-$J$10</f>
        <v>0.38875775131140244</v>
      </c>
      <c r="N41" s="47">
        <f>N10-$J$10</f>
        <v>0.38875875131139992</v>
      </c>
      <c r="O41" s="47">
        <f>O10-$J$10</f>
        <v>0.48758889453129939</v>
      </c>
    </row>
    <row r="42" spans="1:15" x14ac:dyDescent="0.3">
      <c r="A42">
        <v>6</v>
      </c>
      <c r="B42" s="30">
        <v>37.04</v>
      </c>
      <c r="C42" s="32">
        <v>7</v>
      </c>
      <c r="D42" s="33">
        <f t="shared" si="7"/>
        <v>0</v>
      </c>
      <c r="E42" s="33">
        <f>E11-$B$11</f>
        <v>0.21904738260930401</v>
      </c>
      <c r="F42" s="33">
        <f>F11-$B$11</f>
        <v>0.48881667675689755</v>
      </c>
      <c r="G42" s="33">
        <f>G11-$B$11</f>
        <v>0.64188835700299762</v>
      </c>
      <c r="H42" s="33">
        <f>H11-$B$11</f>
        <v>0.94019690759009933</v>
      </c>
      <c r="I42" s="33">
        <f>I11-$B$11</f>
        <v>1.0730287502200042</v>
      </c>
      <c r="J42" s="47">
        <f t="shared" si="6"/>
        <v>0</v>
      </c>
      <c r="K42" s="47">
        <f>K11-$J$11</f>
        <v>0.30622072988060012</v>
      </c>
      <c r="L42" s="47">
        <f>L11-$J$11</f>
        <v>0.37125723849619874</v>
      </c>
      <c r="M42" s="47">
        <f>M11-$J$11</f>
        <v>0.48323361499240036</v>
      </c>
      <c r="N42" s="47">
        <f>N11-$J$11</f>
        <v>0.48323461499239784</v>
      </c>
      <c r="O42" s="47">
        <f>O11-$J$11</f>
        <v>0.48323561499239531</v>
      </c>
    </row>
    <row r="43" spans="1:15" x14ac:dyDescent="0.3">
      <c r="A43">
        <v>7</v>
      </c>
      <c r="B43" s="30">
        <v>36.85</v>
      </c>
      <c r="C43" s="32">
        <v>8</v>
      </c>
      <c r="D43" s="33">
        <f t="shared" si="7"/>
        <v>0</v>
      </c>
      <c r="E43" s="33">
        <f>E12-$B$12</f>
        <v>0.37791653996399788</v>
      </c>
      <c r="F43" s="33">
        <f>F12-$B$12</f>
        <v>0.63071516826690299</v>
      </c>
      <c r="G43" s="33">
        <f>G12-$B$12</f>
        <v>0.77493856581499898</v>
      </c>
      <c r="H43" s="33">
        <f>H12-$B$12</f>
        <v>1.0582512975841993</v>
      </c>
      <c r="I43" s="33">
        <f>I12-$B$12</f>
        <v>1.1643198770658998</v>
      </c>
      <c r="J43" s="47">
        <f t="shared" si="6"/>
        <v>0</v>
      </c>
      <c r="K43" s="47">
        <f>K12-$J$12</f>
        <v>0.23807454802160066</v>
      </c>
      <c r="L43" s="47">
        <f>L12-$J$12</f>
        <v>0.31169901855529503</v>
      </c>
      <c r="M43" s="47">
        <f>M12-$J$12</f>
        <v>0.44950463324369849</v>
      </c>
      <c r="N43" s="47">
        <f>N12-$J$12</f>
        <v>0.44950563324369597</v>
      </c>
      <c r="O43" s="47">
        <f>O12-$J$12</f>
        <v>0.49429738832019865</v>
      </c>
    </row>
    <row r="44" spans="1:15" x14ac:dyDescent="0.3">
      <c r="A44">
        <v>8</v>
      </c>
      <c r="B44" s="30">
        <v>36.67</v>
      </c>
      <c r="C44" s="32">
        <v>9</v>
      </c>
      <c r="D44" s="33">
        <f t="shared" si="7"/>
        <v>0</v>
      </c>
      <c r="E44" s="33">
        <f>E13-$B$13</f>
        <v>0.12024918577930066</v>
      </c>
      <c r="F44" s="33">
        <f>F13-$B$13</f>
        <v>0.38619775693140213</v>
      </c>
      <c r="G44" s="33">
        <f>G13-$B$13</f>
        <v>0.54564183951620038</v>
      </c>
      <c r="H44" s="33">
        <f>H13-$B$13</f>
        <v>0.85230961664070293</v>
      </c>
      <c r="I44" s="33">
        <f>I13-$B$13</f>
        <v>1.0022120700232051</v>
      </c>
      <c r="J44" s="47">
        <f t="shared" si="6"/>
        <v>0</v>
      </c>
      <c r="K44" s="47">
        <f>K13-$J$13</f>
        <v>0.17743634146140153</v>
      </c>
      <c r="L44" s="47">
        <f>L13-$J$13</f>
        <v>0.26503855481119842</v>
      </c>
      <c r="M44" s="47">
        <f>M13-$J$13</f>
        <v>0.40361287053310235</v>
      </c>
      <c r="N44" s="47">
        <f>N13-$J$13</f>
        <v>0.40361387053309983</v>
      </c>
      <c r="O44" s="47">
        <f>O13-$J$13</f>
        <v>0.48493700247740179</v>
      </c>
    </row>
    <row r="45" spans="1:15" x14ac:dyDescent="0.3">
      <c r="A45">
        <v>9</v>
      </c>
      <c r="B45" s="30">
        <v>37.520000000000003</v>
      </c>
      <c r="C45" s="32">
        <v>10</v>
      </c>
      <c r="D45" s="33">
        <f t="shared" si="7"/>
        <v>0</v>
      </c>
      <c r="E45" s="33">
        <f>E14-$B$14</f>
        <v>0.15753914136950442</v>
      </c>
      <c r="F45" s="33">
        <f>F14-$B$14</f>
        <v>0.42583859996910434</v>
      </c>
      <c r="G45" s="33">
        <f>G14-$B$14</f>
        <v>0.64454236298660561</v>
      </c>
      <c r="H45" s="33">
        <f>H14-$B$14</f>
        <v>0.98594826237690114</v>
      </c>
      <c r="I45" s="33">
        <f>I14-$B$14</f>
        <v>1.1318672350745018</v>
      </c>
      <c r="J45" s="47">
        <f t="shared" si="6"/>
        <v>0</v>
      </c>
      <c r="K45" s="47">
        <f>K14-$J$14</f>
        <v>0.25197243848000284</v>
      </c>
      <c r="L45" s="47">
        <f>L14-$J$14</f>
        <v>0.32316734373319633</v>
      </c>
      <c r="M45" s="47">
        <f>M14-$J$14</f>
        <v>0.44163668202389772</v>
      </c>
      <c r="N45" s="47">
        <f>N14-$J$14</f>
        <v>0.4416376820239023</v>
      </c>
      <c r="O45" s="47">
        <f>O14-$J$14</f>
        <v>0.47793574694159702</v>
      </c>
    </row>
    <row r="46" spans="1:15" x14ac:dyDescent="0.3">
      <c r="A46">
        <v>10</v>
      </c>
      <c r="B46" s="30">
        <v>37.340000000000003</v>
      </c>
      <c r="C46" s="32">
        <v>11</v>
      </c>
      <c r="D46" s="33">
        <f t="shared" si="7"/>
        <v>0</v>
      </c>
      <c r="E46" s="33">
        <f>E15-$B$15</f>
        <v>0.32177471678269853</v>
      </c>
      <c r="F46" s="33">
        <f>F15-$B$15</f>
        <v>0.57880860536349843</v>
      </c>
      <c r="G46" s="33">
        <f>G15-$B$15</f>
        <v>0.72922252432829993</v>
      </c>
      <c r="H46" s="33">
        <f>H15-$B$15</f>
        <v>1.0220015156730042</v>
      </c>
      <c r="I46" s="33">
        <f>I15-$B$15</f>
        <v>1.1515470952798026</v>
      </c>
      <c r="J46" s="47">
        <f t="shared" si="6"/>
        <v>0</v>
      </c>
      <c r="K46" s="47">
        <f>K15-$J$15</f>
        <v>0.24130774597369964</v>
      </c>
      <c r="L46" s="47">
        <f>L15-$J$15</f>
        <v>0.31360624163490058</v>
      </c>
      <c r="M46" s="47">
        <f>M15-$J$15</f>
        <v>0.43160949738309995</v>
      </c>
      <c r="N46" s="47">
        <f>N15-$J$15</f>
        <v>0.43161049738310453</v>
      </c>
      <c r="O46" s="47">
        <f>O15-$J$15</f>
        <v>0.46976117040190246</v>
      </c>
    </row>
    <row r="47" spans="1:15" x14ac:dyDescent="0.3">
      <c r="A47">
        <v>11</v>
      </c>
      <c r="B47" s="30">
        <v>37.07</v>
      </c>
      <c r="C47" s="32">
        <v>12</v>
      </c>
      <c r="D47" s="33">
        <f t="shared" si="7"/>
        <v>0</v>
      </c>
      <c r="E47" s="33">
        <f>E16-$B$16</f>
        <v>0.24369876982429872</v>
      </c>
      <c r="F47" s="33">
        <f>F16-$B$16</f>
        <v>0.50249295702540309</v>
      </c>
      <c r="G47" s="33">
        <f>G16-$B$16</f>
        <v>0.67401372932310011</v>
      </c>
      <c r="H47" s="33">
        <f>H16-$B$16</f>
        <v>0.97520035611360356</v>
      </c>
      <c r="I47" s="33">
        <f>I16-$B$16</f>
        <v>1.1104461410267987</v>
      </c>
      <c r="J47" s="47">
        <f t="shared" si="6"/>
        <v>0</v>
      </c>
      <c r="K47" s="47">
        <f>K16-$J$16</f>
        <v>0.22041475490190265</v>
      </c>
      <c r="L47" s="47">
        <f>L16-$J$16</f>
        <v>0.31388480761459903</v>
      </c>
      <c r="M47" s="47">
        <f>M16-$J$16</f>
        <v>0.44726605679620235</v>
      </c>
      <c r="N47" s="47">
        <f>N16-$J$16</f>
        <v>0.44726705679619982</v>
      </c>
      <c r="O47" s="47">
        <f>O16-$J$16</f>
        <v>0.49596473388260165</v>
      </c>
    </row>
    <row r="48" spans="1:15" x14ac:dyDescent="0.3">
      <c r="A48">
        <v>12</v>
      </c>
      <c r="B48" s="30">
        <v>36.81</v>
      </c>
      <c r="C48" s="32">
        <v>13</v>
      </c>
      <c r="D48" s="33">
        <f t="shared" si="7"/>
        <v>0</v>
      </c>
      <c r="E48" s="33">
        <f>E17-$B$17</f>
        <v>0.16336482567189847</v>
      </c>
      <c r="F48" s="33">
        <f>F17-$B$17</f>
        <v>0.44559715854400395</v>
      </c>
      <c r="G48" s="33">
        <f>G17-$B$17</f>
        <v>0.61287645895519915</v>
      </c>
      <c r="H48" s="33">
        <f>H17-$B$17</f>
        <v>0.94815867151090316</v>
      </c>
      <c r="I48" s="33">
        <f>I17-$B$17</f>
        <v>1.1058378336406989</v>
      </c>
      <c r="J48" s="47">
        <f t="shared" si="6"/>
        <v>0</v>
      </c>
      <c r="K48" s="47">
        <f>K17-$J$17</f>
        <v>0.19790516250200341</v>
      </c>
      <c r="L48" s="47">
        <f>L17-$J$17</f>
        <v>0.28240179880390315</v>
      </c>
      <c r="M48" s="47">
        <f>M17-$J$17</f>
        <v>0.42081294930080304</v>
      </c>
      <c r="N48" s="47">
        <f>N17-$J$17</f>
        <v>0.42081394930080052</v>
      </c>
      <c r="O48" s="47">
        <f>O17-$J$17</f>
        <v>0.51476069395680213</v>
      </c>
    </row>
    <row r="49" spans="1:15" x14ac:dyDescent="0.3">
      <c r="A49">
        <v>13</v>
      </c>
      <c r="B49" s="30">
        <v>36.450000000000003</v>
      </c>
      <c r="C49" s="32">
        <v>14</v>
      </c>
      <c r="D49" s="33">
        <f t="shared" si="7"/>
        <v>0</v>
      </c>
      <c r="E49" s="33">
        <f>E18-$B$18</f>
        <v>0.23781622816979819</v>
      </c>
      <c r="F49" s="33">
        <f>F18-$B$18</f>
        <v>0.49619137458619633</v>
      </c>
      <c r="G49" s="33">
        <f>G18-$B$18</f>
        <v>0.64901648453609795</v>
      </c>
      <c r="H49" s="33">
        <f>H18-$B$18</f>
        <v>1.0023109245929973</v>
      </c>
      <c r="I49" s="33">
        <f>I18-$B$18</f>
        <v>1.1435991382607966</v>
      </c>
      <c r="J49" s="47">
        <f t="shared" si="6"/>
        <v>0</v>
      </c>
      <c r="K49" s="47">
        <f>K18-$J$18</f>
        <v>0.24943601075789701</v>
      </c>
      <c r="L49" s="47">
        <f>L18-$J$18</f>
        <v>0.32399217520180201</v>
      </c>
      <c r="M49" s="47">
        <f>M18-$J$18</f>
        <v>0.4486776872755982</v>
      </c>
      <c r="N49" s="47">
        <f>N18-$J$18</f>
        <v>0.44867868727560278</v>
      </c>
      <c r="O49" s="47">
        <f>O18-$J$18</f>
        <v>0.48610612333649783</v>
      </c>
    </row>
    <row r="50" spans="1:15" x14ac:dyDescent="0.3">
      <c r="A50">
        <v>14</v>
      </c>
      <c r="B50" s="30">
        <v>37.68</v>
      </c>
      <c r="C50" s="32">
        <v>15</v>
      </c>
      <c r="D50" s="33">
        <f t="shared" si="7"/>
        <v>0</v>
      </c>
      <c r="E50" s="33">
        <f>E19-$B$19</f>
        <v>0.26253638834310067</v>
      </c>
      <c r="F50" s="33">
        <f>F19-$B$19</f>
        <v>0.52993319698960306</v>
      </c>
      <c r="G50" s="33">
        <f>G19-$B$19</f>
        <v>0.68630570613459696</v>
      </c>
      <c r="H50" s="33">
        <f>H19-$B$19</f>
        <v>1.0016610604616005</v>
      </c>
      <c r="I50" s="33">
        <f>I19-$B$19</f>
        <v>1.1336789404649039</v>
      </c>
      <c r="J50" s="47">
        <f t="shared" si="6"/>
        <v>0</v>
      </c>
      <c r="K50" s="47">
        <f>K19-$J$19</f>
        <v>0.2332702334235961</v>
      </c>
      <c r="L50" s="47">
        <f>L19-$J$19</f>
        <v>0.30911351857249514</v>
      </c>
      <c r="M50" s="47">
        <f>M19-$J$19</f>
        <v>0.43731241516459818</v>
      </c>
      <c r="N50" s="47">
        <f>N19-$J$19</f>
        <v>0.43731341516459565</v>
      </c>
      <c r="O50" s="47">
        <f>O19-$J$19</f>
        <v>0.48178131580269934</v>
      </c>
    </row>
    <row r="51" spans="1:15" x14ac:dyDescent="0.3">
      <c r="A51">
        <v>15</v>
      </c>
      <c r="B51" s="30">
        <v>37</v>
      </c>
      <c r="C51" s="32">
        <v>16</v>
      </c>
      <c r="D51" s="33">
        <f t="shared" si="7"/>
        <v>0</v>
      </c>
      <c r="E51" s="33">
        <f>E20-$B$20</f>
        <v>0.34106298120150313</v>
      </c>
      <c r="F51" s="33">
        <f>F20-$B$20</f>
        <v>0.5912539988173009</v>
      </c>
      <c r="G51" s="33">
        <f>G20-$B$20</f>
        <v>0.73819924512289958</v>
      </c>
      <c r="H51" s="33">
        <f>H20-$B$20</f>
        <v>1.0236703078942</v>
      </c>
      <c r="I51" s="33">
        <f>I20-$B$20</f>
        <v>1.1380090259997004</v>
      </c>
      <c r="J51" s="47">
        <f t="shared" si="6"/>
        <v>0</v>
      </c>
      <c r="K51" s="47">
        <f>K20-$J$20</f>
        <v>0.25021022912490309</v>
      </c>
      <c r="L51" s="47">
        <f>L20-$J$20</f>
        <v>0.33383694454619928</v>
      </c>
      <c r="M51" s="47">
        <f>M20-$J$20</f>
        <v>0.45559247243710388</v>
      </c>
      <c r="N51" s="47">
        <f>N20-$J$20</f>
        <v>0.45559347243710135</v>
      </c>
      <c r="O51" s="47">
        <f>O20-$J$20</f>
        <v>0.50042814754490195</v>
      </c>
    </row>
    <row r="52" spans="1:15" x14ac:dyDescent="0.3">
      <c r="A52">
        <v>16</v>
      </c>
      <c r="B52" s="30">
        <v>37.119999999999997</v>
      </c>
      <c r="C52" s="32">
        <v>17</v>
      </c>
      <c r="D52" s="33">
        <f t="shared" si="7"/>
        <v>0</v>
      </c>
      <c r="E52" s="33">
        <f>E21-$B$21</f>
        <v>0.15808797804680097</v>
      </c>
      <c r="F52" s="33">
        <f>F21-$B$21</f>
        <v>0.42372327453680469</v>
      </c>
      <c r="G52" s="33">
        <f>G21-$B$21</f>
        <v>0.5822563720544025</v>
      </c>
      <c r="H52" s="33">
        <f>H21-$B$21</f>
        <v>0.88593051082580132</v>
      </c>
      <c r="I52" s="33">
        <f>I21-$B$21</f>
        <v>1.0584090933424051</v>
      </c>
      <c r="J52" s="47">
        <f t="shared" si="6"/>
        <v>0</v>
      </c>
      <c r="K52" s="47">
        <f>K21-$J$21</f>
        <v>0.14480084416189953</v>
      </c>
      <c r="L52" s="47">
        <f>L21-$J$21</f>
        <v>0.23611158231820184</v>
      </c>
      <c r="M52" s="47">
        <f>M21-$J$21</f>
        <v>0.38148206216919789</v>
      </c>
      <c r="N52" s="47">
        <f>N21-$J$21</f>
        <v>0.38148306216920247</v>
      </c>
      <c r="O52" s="47">
        <f>O21-$J$21</f>
        <v>0.4894301651884021</v>
      </c>
    </row>
    <row r="53" spans="1:15" x14ac:dyDescent="0.3">
      <c r="A53">
        <v>17</v>
      </c>
      <c r="B53" s="30">
        <v>37.229999999999997</v>
      </c>
      <c r="C53" s="32">
        <v>18</v>
      </c>
      <c r="D53" s="33">
        <f t="shared" si="7"/>
        <v>0</v>
      </c>
      <c r="E53" s="33">
        <f>E22-$B$22</f>
        <v>0.20017041407599834</v>
      </c>
      <c r="F53" s="33">
        <f>F22-$B$22</f>
        <v>0.46611394877079704</v>
      </c>
      <c r="G53" s="33">
        <f>G22-$B$22</f>
        <v>0.62626946082319535</v>
      </c>
      <c r="H53" s="33">
        <f>H22-$B$22</f>
        <v>0.92302451696009769</v>
      </c>
      <c r="I53" s="33">
        <f>I22-$B$22</f>
        <v>1.0622356566298947</v>
      </c>
      <c r="J53" s="47">
        <f t="shared" si="6"/>
        <v>0</v>
      </c>
      <c r="K53" s="47">
        <f>K22-$J$22</f>
        <v>0.15994039850300368</v>
      </c>
      <c r="L53" s="47">
        <f>L22-$J$22</f>
        <v>0.25026983134480218</v>
      </c>
      <c r="M53" s="47">
        <f>M22-$J$22</f>
        <v>0.39886830646920401</v>
      </c>
      <c r="N53" s="47">
        <f>N22-$J$22</f>
        <v>0.39886930646920149</v>
      </c>
      <c r="O53" s="47">
        <f>O22-$J$22</f>
        <v>0.50945213630750175</v>
      </c>
    </row>
    <row r="54" spans="1:15" x14ac:dyDescent="0.3">
      <c r="A54">
        <v>18</v>
      </c>
      <c r="B54" s="30">
        <v>37.01</v>
      </c>
      <c r="C54" s="32">
        <v>19</v>
      </c>
      <c r="D54" s="33">
        <f t="shared" si="7"/>
        <v>0</v>
      </c>
      <c r="E54" s="33">
        <f>E23-$B$23</f>
        <v>0.18862430951769937</v>
      </c>
      <c r="F54" s="33">
        <f>F23-$B$23</f>
        <v>0.46945995610310121</v>
      </c>
      <c r="G54" s="33">
        <f>G23-$B$23</f>
        <v>0.62589678056620102</v>
      </c>
      <c r="H54" s="33">
        <f>H23-$B$23</f>
        <v>0.93682274810160493</v>
      </c>
      <c r="I54" s="33">
        <f>I23-$B$23</f>
        <v>1.0919929296226982</v>
      </c>
      <c r="J54" s="47">
        <f t="shared" si="6"/>
        <v>0</v>
      </c>
      <c r="K54" s="47">
        <f>K23-$J$23</f>
        <v>0.19662930338230211</v>
      </c>
      <c r="L54" s="47">
        <f>L23-$J$23</f>
        <v>0.27896418862010108</v>
      </c>
      <c r="M54" s="47">
        <f>M23-$J$23</f>
        <v>0.41004844071050428</v>
      </c>
      <c r="N54" s="47">
        <f>N23-$J$23</f>
        <v>0.41004944071050176</v>
      </c>
      <c r="O54" s="47">
        <f>O23-$J$23</f>
        <v>0.48657301224240257</v>
      </c>
    </row>
    <row r="55" spans="1:15" x14ac:dyDescent="0.3">
      <c r="A55">
        <v>19</v>
      </c>
      <c r="B55" s="30">
        <v>37.46</v>
      </c>
      <c r="C55" s="32">
        <v>20</v>
      </c>
      <c r="D55" s="33">
        <f t="shared" si="7"/>
        <v>0</v>
      </c>
      <c r="E55" s="33">
        <f>E24-$B$24</f>
        <v>0.34493051062329982</v>
      </c>
      <c r="F55" s="33">
        <f>F24-$B$24</f>
        <v>0.60056644002079906</v>
      </c>
      <c r="G55" s="33">
        <f>G24-$B$24</f>
        <v>0.74399796568359733</v>
      </c>
      <c r="H55" s="33">
        <f>H24-$B$24</f>
        <v>1.0284674879800946</v>
      </c>
      <c r="I55" s="33">
        <f>I24-$B$24</f>
        <v>1.1454808064622952</v>
      </c>
      <c r="J55" s="47">
        <f t="shared" si="6"/>
        <v>0</v>
      </c>
      <c r="K55" s="47">
        <f>K24-$J$24</f>
        <v>0.21114963844859602</v>
      </c>
      <c r="L55" s="47">
        <f>L24-$J$24</f>
        <v>0.289636490781497</v>
      </c>
      <c r="M55" s="47">
        <f>M24-$J$24</f>
        <v>0.4192349260505992</v>
      </c>
      <c r="N55" s="47">
        <f>N24-$J$24</f>
        <v>0.41923592605059667</v>
      </c>
      <c r="O55" s="47">
        <f>O24-$J$24</f>
        <v>0.48095840578280047</v>
      </c>
    </row>
    <row r="56" spans="1:15" x14ac:dyDescent="0.3">
      <c r="A56">
        <v>20</v>
      </c>
      <c r="B56" s="30">
        <v>36.65</v>
      </c>
      <c r="C56" s="43">
        <v>21</v>
      </c>
      <c r="D56" s="33">
        <f t="shared" si="7"/>
        <v>0</v>
      </c>
      <c r="E56" s="33">
        <f>E25-$B$25</f>
        <v>6.6711489226797482E-2</v>
      </c>
      <c r="F56" s="33">
        <f>F25-$B$25</f>
        <v>0.33547568935559724</v>
      </c>
      <c r="G56" s="33">
        <f>G25-$B$25</f>
        <v>0.50073013986310144</v>
      </c>
      <c r="H56" s="33">
        <f>H25-$B$25</f>
        <v>0.81598896702769963</v>
      </c>
      <c r="I56" s="33">
        <f>I25-$B$25</f>
        <v>0.97771937574390222</v>
      </c>
      <c r="J56" s="47">
        <f t="shared" si="6"/>
        <v>0</v>
      </c>
      <c r="K56" s="47">
        <f>K25-$J$25</f>
        <v>0.19409807412680635</v>
      </c>
      <c r="L56" s="47">
        <f>L25-$J$25</f>
        <v>0.27539076139030527</v>
      </c>
      <c r="M56" s="47">
        <f>M25-$J$25</f>
        <v>0.40388705891760424</v>
      </c>
      <c r="N56" s="47">
        <f>N25-$J$25</f>
        <v>0.40388805891760171</v>
      </c>
      <c r="O56" s="47">
        <f>O25-$J$25</f>
        <v>0.47470663135810298</v>
      </c>
    </row>
    <row r="57" spans="1:15" x14ac:dyDescent="0.3">
      <c r="A57">
        <v>21</v>
      </c>
      <c r="B57" s="30">
        <v>37.450000000000003</v>
      </c>
      <c r="C57" s="40" t="s">
        <v>35</v>
      </c>
      <c r="D57" s="41">
        <f>AVERAGE(D36:D56)</f>
        <v>0</v>
      </c>
      <c r="E57" s="41">
        <f t="shared" ref="E57:O57" si="8">AVERAGE(E36:E56)</f>
        <v>0.21999999999999073</v>
      </c>
      <c r="F57" s="41">
        <f t="shared" si="8"/>
        <v>0.49000000000001009</v>
      </c>
      <c r="G57" s="41">
        <f t="shared" si="8"/>
        <v>0.64999999999999047</v>
      </c>
      <c r="H57" s="41">
        <f t="shared" si="8"/>
        <v>0.96000000000000085</v>
      </c>
      <c r="I57" s="41">
        <f t="shared" si="8"/>
        <v>1.1000000000000052</v>
      </c>
      <c r="J57" s="46">
        <f t="shared" si="8"/>
        <v>0</v>
      </c>
      <c r="K57" s="46">
        <f t="shared" si="8"/>
        <v>0.22341667000000598</v>
      </c>
      <c r="L57" s="46">
        <f t="shared" si="8"/>
        <v>0.3034166700000141</v>
      </c>
      <c r="M57" s="46">
        <f t="shared" si="8"/>
        <v>0.43341667000001055</v>
      </c>
      <c r="N57" s="46">
        <f t="shared" si="8"/>
        <v>0.43341767000000975</v>
      </c>
      <c r="O57" s="46">
        <f t="shared" si="8"/>
        <v>0.49343018913129083</v>
      </c>
    </row>
    <row r="58" spans="1:15" x14ac:dyDescent="0.3">
      <c r="A58" s="27"/>
      <c r="C58" s="42" t="s">
        <v>15</v>
      </c>
      <c r="D58" s="41">
        <f>_xlfn.STDEV.S(D36:D57)</f>
        <v>0</v>
      </c>
      <c r="E58" s="41">
        <f t="shared" ref="E58:O58" si="9">_xlfn.STDEV.S(E36:E57)</f>
        <v>8.3242648843739123E-2</v>
      </c>
      <c r="F58" s="41">
        <f t="shared" si="9"/>
        <v>7.9184737830632707E-2</v>
      </c>
      <c r="G58" s="41">
        <f t="shared" si="9"/>
        <v>7.2662597237557955E-2</v>
      </c>
      <c r="H58" s="41">
        <f t="shared" si="9"/>
        <v>6.6363316879775966E-2</v>
      </c>
      <c r="I58" s="41">
        <f t="shared" si="9"/>
        <v>5.4691824841065093E-2</v>
      </c>
      <c r="J58" s="46">
        <f t="shared" si="9"/>
        <v>0</v>
      </c>
      <c r="K58" s="46">
        <f t="shared" si="9"/>
        <v>4.4894110925205517E-2</v>
      </c>
      <c r="L58" s="46">
        <f t="shared" si="9"/>
        <v>3.9503662383961316E-2</v>
      </c>
      <c r="M58" s="46">
        <f t="shared" si="9"/>
        <v>3.1677943559779174E-2</v>
      </c>
      <c r="N58" s="46">
        <f t="shared" si="9"/>
        <v>3.1677943559779292E-2</v>
      </c>
      <c r="O58" s="46">
        <f t="shared" si="9"/>
        <v>1.7557199917801306E-2</v>
      </c>
    </row>
    <row r="59" spans="1:15" x14ac:dyDescent="0.3">
      <c r="A59" s="27"/>
      <c r="B59" s="28"/>
      <c r="C59" s="44" t="s">
        <v>27</v>
      </c>
      <c r="D59" s="33">
        <f>MEDIAN(D36:D58)</f>
        <v>0</v>
      </c>
      <c r="E59" s="33">
        <f t="shared" ref="E59:O59" si="10">MEDIAN(E36:E58)</f>
        <v>0.21220429505189742</v>
      </c>
      <c r="F59" s="33">
        <f t="shared" si="10"/>
        <v>0.48823744350249854</v>
      </c>
      <c r="G59" s="33">
        <f t="shared" si="10"/>
        <v>0.64454236298660561</v>
      </c>
      <c r="H59" s="33">
        <f t="shared" si="10"/>
        <v>0.96000000000000085</v>
      </c>
      <c r="I59" s="33">
        <f t="shared" si="10"/>
        <v>1.104061666740705</v>
      </c>
      <c r="J59" s="33">
        <f t="shared" si="10"/>
        <v>0</v>
      </c>
      <c r="K59" s="33">
        <f t="shared" si="10"/>
        <v>0.22041475490190265</v>
      </c>
      <c r="L59" s="33">
        <f t="shared" si="10"/>
        <v>0.3034166700000141</v>
      </c>
      <c r="M59" s="33">
        <f t="shared" si="10"/>
        <v>0.43160949738309995</v>
      </c>
      <c r="N59" s="33">
        <f t="shared" si="10"/>
        <v>0.43161049738310453</v>
      </c>
      <c r="O59" s="33">
        <f t="shared" si="10"/>
        <v>0.48758889453129939</v>
      </c>
    </row>
    <row r="60" spans="1:15" x14ac:dyDescent="0.3">
      <c r="A60" s="27"/>
    </row>
    <row r="67" spans="2:2" x14ac:dyDescent="0.3">
      <c r="B67">
        <v>0</v>
      </c>
    </row>
    <row r="68" spans="2:2" x14ac:dyDescent="0.3">
      <c r="B68">
        <v>0.22355555555549955</v>
      </c>
    </row>
    <row r="69" spans="2:2" x14ac:dyDescent="0.3">
      <c r="B69">
        <v>0.48850925925900412</v>
      </c>
    </row>
    <row r="70" spans="2:2" x14ac:dyDescent="0.3">
      <c r="B70">
        <v>0.64768518518520324</v>
      </c>
    </row>
    <row r="71" spans="2:2" x14ac:dyDescent="0.3">
      <c r="B71">
        <v>0.95583333333330245</v>
      </c>
    </row>
    <row r="72" spans="2:2" x14ac:dyDescent="0.3">
      <c r="B72">
        <v>1.1039814814814832</v>
      </c>
    </row>
    <row r="73" spans="2:2" x14ac:dyDescent="0.3">
      <c r="B73">
        <v>1.2687962962962942</v>
      </c>
    </row>
    <row r="74" spans="2:2" x14ac:dyDescent="0.3">
      <c r="B74">
        <v>1.3999999999999986</v>
      </c>
    </row>
    <row r="75" spans="2:2" x14ac:dyDescent="0.3">
      <c r="B75">
        <v>1.5844532999999998</v>
      </c>
    </row>
    <row r="76" spans="2:2" x14ac:dyDescent="0.3">
      <c r="B76">
        <v>1.5888740000000041</v>
      </c>
    </row>
    <row r="77" spans="2:2" x14ac:dyDescent="0.3">
      <c r="B77">
        <v>1.567770000000003</v>
      </c>
    </row>
    <row r="78" spans="2:2" x14ac:dyDescent="0.3">
      <c r="B78">
        <v>1.5477500000000006</v>
      </c>
    </row>
    <row r="79" spans="2:2" x14ac:dyDescent="0.3">
      <c r="B79">
        <v>1.3400000000000034</v>
      </c>
    </row>
    <row r="80" spans="2:2" x14ac:dyDescent="0.3">
      <c r="B80">
        <v>1.3211111111110014</v>
      </c>
    </row>
    <row r="81" spans="2:2" x14ac:dyDescent="0.3">
      <c r="B81">
        <v>1.3461111111111137</v>
      </c>
    </row>
    <row r="82" spans="2:2" x14ac:dyDescent="0.3">
      <c r="B82">
        <v>1.2455555555555549</v>
      </c>
    </row>
    <row r="83" spans="2:2" x14ac:dyDescent="0.3">
      <c r="B83">
        <v>1.230000000000004</v>
      </c>
    </row>
    <row r="84" spans="2:2" x14ac:dyDescent="0.3">
      <c r="B84">
        <v>1.2250000000000014</v>
      </c>
    </row>
    <row r="85" spans="2:2" x14ac:dyDescent="0.3">
      <c r="B85">
        <v>1.0900000000000034</v>
      </c>
    </row>
    <row r="86" spans="2:2" x14ac:dyDescent="0.3">
      <c r="B86">
        <v>1.0333333333333314</v>
      </c>
    </row>
    <row r="87" spans="2:2" x14ac:dyDescent="0.3">
      <c r="B87">
        <v>0.9766666666667021</v>
      </c>
    </row>
    <row r="88" spans="2:2" x14ac:dyDescent="0.3">
      <c r="B88">
        <v>0.92000000000000171</v>
      </c>
    </row>
    <row r="89" spans="2:2" x14ac:dyDescent="0.3">
      <c r="B89">
        <v>0.93999999999999773</v>
      </c>
    </row>
    <row r="90" spans="2:2" x14ac:dyDescent="0.3">
      <c r="B90">
        <v>0.88425925925930215</v>
      </c>
    </row>
    <row r="91" spans="2:2" x14ac:dyDescent="0.3">
      <c r="B91">
        <v>0.84333333333333371</v>
      </c>
    </row>
    <row r="92" spans="2:2" x14ac:dyDescent="0.3">
      <c r="B92">
        <v>0.8024074074074079</v>
      </c>
    </row>
    <row r="93" spans="2:2" x14ac:dyDescent="0.3">
      <c r="B93">
        <v>0.76148148148140393</v>
      </c>
    </row>
    <row r="94" spans="2:2" x14ac:dyDescent="0.3">
      <c r="B94">
        <v>0.72055555555539996</v>
      </c>
    </row>
    <row r="95" spans="2:2" x14ac:dyDescent="0.3">
      <c r="B95">
        <v>0.67962962962950257</v>
      </c>
    </row>
    <row r="96" spans="2:2" x14ac:dyDescent="0.3">
      <c r="B96">
        <v>0.59018518518518448</v>
      </c>
    </row>
    <row r="97" spans="2:2" x14ac:dyDescent="0.3">
      <c r="B97">
        <v>0.56592592592592439</v>
      </c>
    </row>
    <row r="98" spans="2:2" x14ac:dyDescent="0.3">
      <c r="B98">
        <v>0.59166666666667567</v>
      </c>
    </row>
  </sheetData>
  <mergeCells count="4">
    <mergeCell ref="D3:I3"/>
    <mergeCell ref="J3:O3"/>
    <mergeCell ref="D34:I34"/>
    <mergeCell ref="J34:O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820B-0551-4D7C-A5EC-B07C69A2AFF0}">
  <dimension ref="A1:G22"/>
  <sheetViews>
    <sheetView workbookViewId="0">
      <selection activeCell="K17" sqref="K17"/>
    </sheetView>
  </sheetViews>
  <sheetFormatPr baseColWidth="10" defaultRowHeight="14.4" x14ac:dyDescent="0.3"/>
  <cols>
    <col min="1" max="1" width="7.33203125" bestFit="1" customWidth="1"/>
    <col min="2" max="2" width="18.88671875" bestFit="1" customWidth="1"/>
    <col min="3" max="3" width="18.77734375" bestFit="1" customWidth="1"/>
    <col min="4" max="4" width="13.88671875" bestFit="1" customWidth="1"/>
    <col min="5" max="5" width="13.77734375" bestFit="1" customWidth="1"/>
    <col min="6" max="6" width="18.77734375" bestFit="1" customWidth="1"/>
    <col min="7" max="7" width="18" bestFit="1" customWidth="1"/>
  </cols>
  <sheetData>
    <row r="1" spans="1:7" x14ac:dyDescent="0.3">
      <c r="A1" t="s">
        <v>37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3">
      <c r="A2" t="s">
        <v>47</v>
      </c>
      <c r="B2">
        <v>2.76E-2</v>
      </c>
      <c r="C2">
        <v>1.23E-2</v>
      </c>
      <c r="D2">
        <v>38.06</v>
      </c>
      <c r="E2">
        <v>36.637599999999999</v>
      </c>
      <c r="F2">
        <v>1.54E-2</v>
      </c>
      <c r="G2">
        <v>1.4224000000000001</v>
      </c>
    </row>
    <row r="3" spans="1:7" x14ac:dyDescent="0.3">
      <c r="A3" t="s">
        <v>48</v>
      </c>
      <c r="B3">
        <v>2.58E-2</v>
      </c>
      <c r="C3">
        <v>8.0999999999999996E-3</v>
      </c>
      <c r="D3">
        <v>37.880000000000003</v>
      </c>
      <c r="E3">
        <v>37.550199999999997</v>
      </c>
      <c r="F3">
        <v>1.7600000000000001E-2</v>
      </c>
      <c r="G3">
        <v>0.32979999999999998</v>
      </c>
    </row>
    <row r="4" spans="1:7" x14ac:dyDescent="0.3">
      <c r="A4" t="s">
        <v>49</v>
      </c>
      <c r="B4">
        <v>2.8199999999999999E-2</v>
      </c>
      <c r="C4">
        <v>1.01E-2</v>
      </c>
      <c r="D4">
        <v>38.36</v>
      </c>
      <c r="E4">
        <v>37.303800000000003</v>
      </c>
      <c r="F4">
        <v>1.8100000000000002E-2</v>
      </c>
      <c r="G4">
        <v>1.0562</v>
      </c>
    </row>
    <row r="5" spans="1:7" x14ac:dyDescent="0.3">
      <c r="A5" t="s">
        <v>50</v>
      </c>
      <c r="B5">
        <v>2.9399999999999999E-2</v>
      </c>
      <c r="C5">
        <v>9.1000000000000004E-3</v>
      </c>
      <c r="D5">
        <v>38.369999999999997</v>
      </c>
      <c r="E5">
        <v>36.927500000000002</v>
      </c>
      <c r="F5">
        <v>2.0299999999999999E-2</v>
      </c>
      <c r="G5">
        <v>1.4424999999999999</v>
      </c>
    </row>
    <row r="6" spans="1:7" x14ac:dyDescent="0.3">
      <c r="A6" t="s">
        <v>51</v>
      </c>
      <c r="B6">
        <v>2.8400000000000002E-2</v>
      </c>
      <c r="C6">
        <v>1.2E-2</v>
      </c>
      <c r="D6">
        <v>38.54</v>
      </c>
      <c r="E6">
        <v>37.173000000000002</v>
      </c>
      <c r="F6">
        <v>1.6299999999999999E-2</v>
      </c>
      <c r="G6">
        <v>1.367</v>
      </c>
    </row>
    <row r="7" spans="1:7" x14ac:dyDescent="0.3">
      <c r="A7" t="s">
        <v>52</v>
      </c>
      <c r="B7">
        <v>2.81E-2</v>
      </c>
      <c r="C7">
        <v>1.26E-2</v>
      </c>
      <c r="D7">
        <v>38.130000000000003</v>
      </c>
      <c r="E7">
        <v>36.890599999999999</v>
      </c>
      <c r="F7">
        <v>1.55E-2</v>
      </c>
      <c r="G7">
        <v>1.2394000000000001</v>
      </c>
    </row>
    <row r="8" spans="1:7" x14ac:dyDescent="0.3">
      <c r="A8" t="s">
        <v>53</v>
      </c>
      <c r="B8">
        <v>2.7E-2</v>
      </c>
      <c r="C8">
        <v>1.0699999999999999E-2</v>
      </c>
      <c r="D8">
        <v>37.93</v>
      </c>
      <c r="E8">
        <v>37.930900000000001</v>
      </c>
      <c r="F8">
        <v>1.6299999999999999E-2</v>
      </c>
      <c r="G8">
        <v>-8.9999999999999998E-4</v>
      </c>
    </row>
    <row r="9" spans="1:7" x14ac:dyDescent="0.3">
      <c r="A9" t="s">
        <v>54</v>
      </c>
      <c r="B9">
        <v>2.9600000000000001E-2</v>
      </c>
      <c r="C9">
        <v>8.9999999999999993E-3</v>
      </c>
      <c r="D9">
        <v>37.83</v>
      </c>
      <c r="E9">
        <v>37.2273</v>
      </c>
      <c r="F9">
        <v>2.07E-2</v>
      </c>
      <c r="G9">
        <v>0.60270000000000001</v>
      </c>
    </row>
    <row r="10" spans="1:7" x14ac:dyDescent="0.3">
      <c r="A10" t="s">
        <v>55</v>
      </c>
      <c r="B10">
        <v>2.63E-2</v>
      </c>
      <c r="C10">
        <v>7.4000000000000003E-3</v>
      </c>
      <c r="D10">
        <v>38.54</v>
      </c>
      <c r="E10">
        <v>36.949300000000001</v>
      </c>
      <c r="F10">
        <v>1.89E-2</v>
      </c>
      <c r="G10">
        <v>1.5907</v>
      </c>
    </row>
    <row r="11" spans="1:7" x14ac:dyDescent="0.3">
      <c r="A11" t="s">
        <v>56</v>
      </c>
      <c r="B11">
        <v>2.7199999999999998E-2</v>
      </c>
      <c r="C11">
        <v>1.11E-2</v>
      </c>
      <c r="D11">
        <v>38.409999999999997</v>
      </c>
      <c r="E11">
        <v>36.9679</v>
      </c>
      <c r="F11">
        <v>1.61E-2</v>
      </c>
      <c r="G11">
        <v>1.4420999999999999</v>
      </c>
    </row>
    <row r="12" spans="1:7" x14ac:dyDescent="0.3">
      <c r="A12" t="s">
        <v>57</v>
      </c>
      <c r="B12">
        <v>2.6700000000000002E-2</v>
      </c>
      <c r="C12">
        <v>1.32E-2</v>
      </c>
      <c r="D12">
        <v>38.14</v>
      </c>
      <c r="E12">
        <v>36.734099999999998</v>
      </c>
      <c r="F12">
        <v>1.34E-2</v>
      </c>
      <c r="G12">
        <v>1.4058999999999999</v>
      </c>
    </row>
    <row r="13" spans="1:7" x14ac:dyDescent="0.3">
      <c r="A13" t="s">
        <v>58</v>
      </c>
      <c r="B13">
        <v>2.7699999999999999E-2</v>
      </c>
      <c r="C13">
        <v>0.01</v>
      </c>
      <c r="D13">
        <v>37.93</v>
      </c>
      <c r="E13">
        <v>36.994999999999997</v>
      </c>
      <c r="F13">
        <v>1.78E-2</v>
      </c>
      <c r="G13">
        <v>0.93500000000000005</v>
      </c>
    </row>
    <row r="14" spans="1:7" x14ac:dyDescent="0.3">
      <c r="A14" t="s">
        <v>59</v>
      </c>
      <c r="B14">
        <v>2.9600000000000001E-2</v>
      </c>
      <c r="C14">
        <v>9.9000000000000008E-3</v>
      </c>
      <c r="D14">
        <v>37.61</v>
      </c>
      <c r="E14">
        <v>37.165900000000001</v>
      </c>
      <c r="F14">
        <v>1.9699999999999999E-2</v>
      </c>
      <c r="G14">
        <v>0.44409999999999999</v>
      </c>
    </row>
    <row r="15" spans="1:7" x14ac:dyDescent="0.3">
      <c r="A15" t="s">
        <v>60</v>
      </c>
      <c r="B15">
        <v>2.9399999999999999E-2</v>
      </c>
      <c r="C15">
        <v>1.0800000000000001E-2</v>
      </c>
      <c r="D15">
        <v>38.82</v>
      </c>
      <c r="E15">
        <v>37.776400000000002</v>
      </c>
      <c r="F15">
        <v>1.8599999999999998E-2</v>
      </c>
      <c r="G15">
        <v>1.0436000000000001</v>
      </c>
    </row>
    <row r="16" spans="1:7" x14ac:dyDescent="0.3">
      <c r="A16" t="s">
        <v>61</v>
      </c>
      <c r="B16">
        <v>3.09E-2</v>
      </c>
      <c r="C16">
        <v>1.18E-2</v>
      </c>
      <c r="D16">
        <v>38.18</v>
      </c>
      <c r="E16">
        <v>36.766199999999998</v>
      </c>
      <c r="F16">
        <v>1.9099999999999999E-2</v>
      </c>
      <c r="G16">
        <v>1.4137999999999999</v>
      </c>
    </row>
    <row r="17" spans="1:7" x14ac:dyDescent="0.3">
      <c r="A17" t="s">
        <v>62</v>
      </c>
      <c r="B17">
        <v>2.75E-2</v>
      </c>
      <c r="C17">
        <v>1.24E-2</v>
      </c>
      <c r="D17">
        <v>38.24</v>
      </c>
      <c r="E17">
        <v>36.889499999999998</v>
      </c>
      <c r="F17">
        <v>1.5100000000000001E-2</v>
      </c>
      <c r="G17">
        <v>1.3505</v>
      </c>
    </row>
    <row r="18" spans="1:7" x14ac:dyDescent="0.3">
      <c r="A18" t="s">
        <v>63</v>
      </c>
      <c r="B18">
        <v>2.6599999999999999E-2</v>
      </c>
      <c r="C18">
        <v>1.0500000000000001E-2</v>
      </c>
      <c r="D18">
        <v>38.26</v>
      </c>
      <c r="E18">
        <v>36.696399999999997</v>
      </c>
      <c r="F18">
        <v>1.61E-2</v>
      </c>
      <c r="G18">
        <v>1.5636000000000001</v>
      </c>
    </row>
    <row r="19" spans="1:7" x14ac:dyDescent="0.3">
      <c r="A19" t="s">
        <v>64</v>
      </c>
      <c r="B19">
        <v>2.8400000000000002E-2</v>
      </c>
      <c r="C19">
        <v>9.7000000000000003E-3</v>
      </c>
      <c r="D19">
        <v>38.11</v>
      </c>
      <c r="E19">
        <v>36.575400000000002</v>
      </c>
      <c r="F19">
        <v>1.8800000000000001E-2</v>
      </c>
      <c r="G19">
        <v>1.5346</v>
      </c>
    </row>
    <row r="20" spans="1:7" x14ac:dyDescent="0.3">
      <c r="A20" t="s">
        <v>65</v>
      </c>
      <c r="B20">
        <v>2.8299999999999999E-2</v>
      </c>
      <c r="C20">
        <v>1.1900000000000001E-2</v>
      </c>
      <c r="D20">
        <v>38.57</v>
      </c>
      <c r="E20">
        <v>36.959899999999998</v>
      </c>
      <c r="F20">
        <v>1.6400000000000001E-2</v>
      </c>
      <c r="G20">
        <v>1.6101000000000001</v>
      </c>
    </row>
    <row r="21" spans="1:7" x14ac:dyDescent="0.3">
      <c r="A21" t="s">
        <v>66</v>
      </c>
      <c r="B21">
        <v>2.69E-2</v>
      </c>
      <c r="C21">
        <v>1.38E-2</v>
      </c>
      <c r="D21">
        <v>37.67</v>
      </c>
      <c r="E21">
        <v>36.841000000000001</v>
      </c>
      <c r="F21">
        <v>1.3100000000000001E-2</v>
      </c>
      <c r="G21">
        <v>0.82899999999999996</v>
      </c>
    </row>
    <row r="22" spans="1:7" x14ac:dyDescent="0.3">
      <c r="A22" t="s">
        <v>67</v>
      </c>
      <c r="B22">
        <v>2.9700000000000001E-2</v>
      </c>
      <c r="C22">
        <v>1.1599999999999999E-2</v>
      </c>
      <c r="D22">
        <v>38.619999999999997</v>
      </c>
      <c r="E22">
        <v>37.108899999999998</v>
      </c>
      <c r="F22">
        <v>1.8100000000000002E-2</v>
      </c>
      <c r="G22">
        <v>1.5111000000000001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1DF4-8527-47FC-A2A3-A6A8F0061F16}">
  <dimension ref="A3:BC60"/>
  <sheetViews>
    <sheetView workbookViewId="0">
      <selection activeCell="D36" sqref="D36"/>
    </sheetView>
  </sheetViews>
  <sheetFormatPr baseColWidth="10" defaultRowHeight="14.4" x14ac:dyDescent="0.3"/>
  <cols>
    <col min="2" max="2" width="21.21875" bestFit="1" customWidth="1"/>
    <col min="3" max="3" width="21.21875" customWidth="1"/>
  </cols>
  <sheetData>
    <row r="3" spans="1:55" ht="52.8" customHeight="1" x14ac:dyDescent="0.3">
      <c r="D3" s="77" t="s">
        <v>4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54"/>
      <c r="AE3" s="78" t="s">
        <v>5</v>
      </c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</row>
    <row r="4" spans="1:55" x14ac:dyDescent="0.3">
      <c r="A4" s="27" t="s">
        <v>37</v>
      </c>
      <c r="B4" t="s">
        <v>36</v>
      </c>
      <c r="C4" s="31" t="s">
        <v>37</v>
      </c>
      <c r="D4" s="34">
        <v>3.3333333333333992E-2</v>
      </c>
      <c r="E4" s="34">
        <v>3.8888888888888973E-2</v>
      </c>
      <c r="F4" s="34">
        <v>4.4444444444444953E-2</v>
      </c>
      <c r="G4" s="34">
        <v>4.9999999999999989E-2</v>
      </c>
      <c r="H4" s="34">
        <v>5.5555555555555969E-2</v>
      </c>
      <c r="I4" s="34">
        <v>6.1111111111111949E-2</v>
      </c>
      <c r="J4" s="34">
        <v>6.6666666666666985E-2</v>
      </c>
      <c r="K4" s="34">
        <v>7.2222222222222965E-2</v>
      </c>
      <c r="L4" s="34">
        <v>7.7777777777778001E-2</v>
      </c>
      <c r="M4" s="34">
        <v>8.3333333333333981E-2</v>
      </c>
      <c r="N4" s="34">
        <v>8.8888888888888962E-2</v>
      </c>
      <c r="O4" s="34">
        <v>9.4444444444444997E-2</v>
      </c>
      <c r="P4" s="34">
        <v>9.9999999999999978E-2</v>
      </c>
      <c r="Q4" s="34">
        <v>0.10555555555555596</v>
      </c>
      <c r="R4" s="34">
        <v>0.11111111111111199</v>
      </c>
      <c r="S4" s="34">
        <v>0.11666666666666697</v>
      </c>
      <c r="T4" s="34">
        <v>0.12222222222222295</v>
      </c>
      <c r="U4" s="34">
        <v>0.12777777777777799</v>
      </c>
      <c r="V4" s="34">
        <v>0.13333333333333397</v>
      </c>
      <c r="W4" s="34">
        <v>0.13888888888888895</v>
      </c>
      <c r="X4" s="34">
        <v>0.14444444444444499</v>
      </c>
      <c r="Y4" s="34">
        <v>0.14722222222222298</v>
      </c>
      <c r="Z4" s="34">
        <v>0.14999999999999997</v>
      </c>
      <c r="AA4" s="34">
        <v>0.15555555555555595</v>
      </c>
      <c r="AB4" s="34">
        <v>0.16111111111111293</v>
      </c>
      <c r="AC4" s="53">
        <v>0.16666666666666702</v>
      </c>
      <c r="AD4" s="55" t="s">
        <v>69</v>
      </c>
      <c r="AE4" s="36">
        <v>3.3333333333333992E-2</v>
      </c>
      <c r="AF4" s="36">
        <v>3.8888888888888973E-2</v>
      </c>
      <c r="AG4" s="36">
        <v>4.4444444444444953E-2</v>
      </c>
      <c r="AH4" s="36">
        <v>4.9999999999998899E-2</v>
      </c>
      <c r="AI4" s="36">
        <v>5.5555555555553901E-2</v>
      </c>
      <c r="AJ4" s="36">
        <v>6.1111111111108903E-2</v>
      </c>
      <c r="AK4" s="36">
        <v>6.6666666666663904E-2</v>
      </c>
      <c r="AL4" s="36">
        <v>7.2222222222218899E-2</v>
      </c>
      <c r="AM4" s="36">
        <v>7.7777777777773796E-2</v>
      </c>
      <c r="AN4" s="36">
        <v>8.3333333333328805E-2</v>
      </c>
      <c r="AO4" s="36">
        <v>8.8888888888883799E-2</v>
      </c>
      <c r="AP4" s="36">
        <v>9.4444444444438794E-2</v>
      </c>
      <c r="AQ4" s="36">
        <v>9.9999999999993802E-2</v>
      </c>
      <c r="AR4" s="36">
        <v>0.105555555555549</v>
      </c>
      <c r="AS4" s="36">
        <v>0.111111111111104</v>
      </c>
      <c r="AT4" s="36">
        <v>0.11666666666665899</v>
      </c>
      <c r="AU4" s="36">
        <v>0.122222222222214</v>
      </c>
      <c r="AV4" s="36">
        <v>0.127777777777769</v>
      </c>
      <c r="AW4" s="36">
        <v>0.13333333333332401</v>
      </c>
      <c r="AX4" s="36">
        <v>0.13888888888887899</v>
      </c>
      <c r="AY4" s="36">
        <v>0.14444444444443399</v>
      </c>
      <c r="AZ4" s="36">
        <v>0.149999999999989</v>
      </c>
      <c r="BA4" s="36">
        <v>0.15555555555554401</v>
      </c>
      <c r="BB4" s="36">
        <v>0.16111111111109899</v>
      </c>
      <c r="BC4" s="36">
        <v>0.166666666666654</v>
      </c>
    </row>
    <row r="5" spans="1:55" x14ac:dyDescent="0.3">
      <c r="A5">
        <v>1</v>
      </c>
      <c r="B5" s="35">
        <v>37.232841002578297</v>
      </c>
      <c r="C5" s="32">
        <v>1</v>
      </c>
      <c r="D5" s="28">
        <v>38.472135263483402</v>
      </c>
      <c r="E5" s="28">
        <v>38.662077192925103</v>
      </c>
      <c r="F5" s="28">
        <v>38.8773179488214</v>
      </c>
      <c r="G5" s="28">
        <v>38.907786047578099</v>
      </c>
      <c r="H5" s="28">
        <v>38.936575279340701</v>
      </c>
      <c r="I5" s="28">
        <v>38.936576279340699</v>
      </c>
      <c r="J5" s="28">
        <v>38.639239346101398</v>
      </c>
      <c r="K5" s="28">
        <v>38.5898730184296</v>
      </c>
      <c r="L5" s="28">
        <v>38.589872018429602</v>
      </c>
      <c r="M5" s="28">
        <v>38.4432844919858</v>
      </c>
      <c r="N5" s="28">
        <v>38.394644772255198</v>
      </c>
      <c r="O5" s="28">
        <v>38.375745997533201</v>
      </c>
      <c r="P5" s="28">
        <v>38.221736687000302</v>
      </c>
      <c r="Q5" s="28">
        <v>38.152144358108401</v>
      </c>
      <c r="R5" s="28">
        <v>38.093988275622799</v>
      </c>
      <c r="S5" s="28">
        <v>38.032104960092497</v>
      </c>
      <c r="T5" s="28">
        <v>38.032103960092499</v>
      </c>
      <c r="U5" s="28">
        <v>37.992634625244499</v>
      </c>
      <c r="V5" s="28">
        <v>37.951293360111499</v>
      </c>
      <c r="W5" s="28">
        <v>37.910562780888597</v>
      </c>
      <c r="X5" s="28">
        <v>37.869141215812597</v>
      </c>
      <c r="Y5" s="28">
        <v>37.830206320873899</v>
      </c>
      <c r="Z5" s="28">
        <v>37.785197758239399</v>
      </c>
      <c r="AA5" s="28">
        <v>37.695811262528302</v>
      </c>
      <c r="AB5" s="28">
        <v>37.676142016631502</v>
      </c>
      <c r="AC5" s="28">
        <v>37.676141016631497</v>
      </c>
      <c r="AD5" s="56">
        <v>36.8274698962231</v>
      </c>
      <c r="AE5" s="33">
        <v>37.375937537299897</v>
      </c>
      <c r="AF5" s="33">
        <v>37.375938537299902</v>
      </c>
      <c r="AG5" s="33">
        <v>37.416137293703798</v>
      </c>
      <c r="AH5" s="33">
        <v>37.442394206292001</v>
      </c>
      <c r="AI5" s="33">
        <v>37.404716806169397</v>
      </c>
      <c r="AJ5" s="33">
        <v>37.404715806169399</v>
      </c>
      <c r="AK5" s="33">
        <v>37.286717078121001</v>
      </c>
      <c r="AL5" s="33">
        <v>37.273471751501901</v>
      </c>
      <c r="AM5" s="33">
        <v>37.197964646391803</v>
      </c>
      <c r="AN5" s="33">
        <v>37.197963646391798</v>
      </c>
      <c r="AO5" s="33">
        <v>37.197962646391801</v>
      </c>
      <c r="AP5" s="33">
        <v>37.197961646391803</v>
      </c>
      <c r="AQ5" s="33">
        <v>37.045323934854999</v>
      </c>
      <c r="AR5" s="33">
        <v>36.900570090936299</v>
      </c>
      <c r="AS5" s="33">
        <v>36.790376951558102</v>
      </c>
      <c r="AT5" s="33">
        <v>36.6997867952376</v>
      </c>
      <c r="AU5" s="33">
        <v>36.650254469602103</v>
      </c>
      <c r="AV5" s="33">
        <v>36.498276319004098</v>
      </c>
      <c r="AW5" s="33">
        <v>36.364149893964402</v>
      </c>
      <c r="AX5" s="33">
        <v>36.2238763547345</v>
      </c>
      <c r="AY5" s="33">
        <v>36.223875354734503</v>
      </c>
      <c r="AZ5" s="33">
        <v>36.204508954814202</v>
      </c>
      <c r="BA5" s="33">
        <v>36.127804386104103</v>
      </c>
      <c r="BB5" s="33">
        <v>36.127803386104098</v>
      </c>
      <c r="BC5" s="33">
        <v>36.127802386104101</v>
      </c>
    </row>
    <row r="6" spans="1:55" x14ac:dyDescent="0.3">
      <c r="A6">
        <v>2</v>
      </c>
      <c r="B6" s="35">
        <v>36.359650162923302</v>
      </c>
      <c r="C6" s="32">
        <v>2</v>
      </c>
      <c r="D6" s="28">
        <v>37.648936900633899</v>
      </c>
      <c r="E6" s="28">
        <v>37.787120577483599</v>
      </c>
      <c r="F6" s="28">
        <v>37.951579816178501</v>
      </c>
      <c r="G6" s="28">
        <v>37.956489691424501</v>
      </c>
      <c r="H6" s="28">
        <v>37.976183460407903</v>
      </c>
      <c r="I6" s="28">
        <v>37.902358277830402</v>
      </c>
      <c r="J6" s="28">
        <v>37.726750403975899</v>
      </c>
      <c r="K6" s="28">
        <v>37.714441220982003</v>
      </c>
      <c r="L6" s="28">
        <v>37.714440220981999</v>
      </c>
      <c r="M6" s="28">
        <v>37.662451108101301</v>
      </c>
      <c r="N6" s="28">
        <v>37.6498365966942</v>
      </c>
      <c r="O6" s="28">
        <v>37.649835596694203</v>
      </c>
      <c r="P6" s="28">
        <v>37.519324850545097</v>
      </c>
      <c r="Q6" s="28">
        <v>37.463015420693097</v>
      </c>
      <c r="R6" s="28">
        <v>37.406787250172201</v>
      </c>
      <c r="S6" s="28">
        <v>37.348991648635099</v>
      </c>
      <c r="T6" s="28">
        <v>37.348990648635102</v>
      </c>
      <c r="U6" s="28">
        <v>37.311541204016599</v>
      </c>
      <c r="V6" s="28">
        <v>37.2719327213809</v>
      </c>
      <c r="W6" s="28">
        <v>37.231212300072201</v>
      </c>
      <c r="X6" s="28">
        <v>37.192812320482098</v>
      </c>
      <c r="Y6" s="28">
        <v>37.151929026804901</v>
      </c>
      <c r="Z6" s="28">
        <v>37.112008538883998</v>
      </c>
      <c r="AA6" s="28">
        <v>37.023906329226001</v>
      </c>
      <c r="AB6" s="28">
        <v>37.004577977647997</v>
      </c>
      <c r="AC6" s="28">
        <v>37.004576977648</v>
      </c>
      <c r="AD6" s="56">
        <v>37.368007259746399</v>
      </c>
      <c r="AE6" s="33">
        <v>37.899840290636</v>
      </c>
      <c r="AF6" s="33">
        <v>37.931329446049702</v>
      </c>
      <c r="AG6" s="33">
        <v>37.990572800391398</v>
      </c>
      <c r="AH6" s="33">
        <v>38.022926998950098</v>
      </c>
      <c r="AI6" s="33">
        <v>37.976806984142101</v>
      </c>
      <c r="AJ6" s="33">
        <v>37.958751019548899</v>
      </c>
      <c r="AK6" s="33">
        <v>37.8318629577007</v>
      </c>
      <c r="AL6" s="33">
        <v>37.790744576545997</v>
      </c>
      <c r="AM6" s="33">
        <v>37.688823182524096</v>
      </c>
      <c r="AN6" s="33">
        <v>37.688822182524198</v>
      </c>
      <c r="AO6" s="33">
        <v>37.688821182524201</v>
      </c>
      <c r="AP6" s="33">
        <v>37.666644026434</v>
      </c>
      <c r="AQ6" s="33">
        <v>37.480739529252197</v>
      </c>
      <c r="AR6" s="33">
        <v>37.323712458110002</v>
      </c>
      <c r="AS6" s="33">
        <v>37.224763193467503</v>
      </c>
      <c r="AT6" s="33">
        <v>37.137860059000197</v>
      </c>
      <c r="AU6" s="33">
        <v>37.089884057347597</v>
      </c>
      <c r="AV6" s="33">
        <v>36.940223084308002</v>
      </c>
      <c r="AW6" s="33">
        <v>36.797838238232799</v>
      </c>
      <c r="AX6" s="33">
        <v>36.651662952424701</v>
      </c>
      <c r="AY6" s="33">
        <v>36.651661952424703</v>
      </c>
      <c r="AZ6" s="33">
        <v>36.631668710578701</v>
      </c>
      <c r="BA6" s="33">
        <v>36.552811778819603</v>
      </c>
      <c r="BB6" s="33">
        <v>36.552810778819598</v>
      </c>
      <c r="BC6" s="33">
        <v>36.552809778819601</v>
      </c>
    </row>
    <row r="7" spans="1:55" x14ac:dyDescent="0.3">
      <c r="A7">
        <v>3</v>
      </c>
      <c r="B7" s="35">
        <v>36.5616060949637</v>
      </c>
      <c r="C7" s="32">
        <v>3</v>
      </c>
      <c r="D7" s="28">
        <v>37.799943067944703</v>
      </c>
      <c r="E7" s="28">
        <v>37.922895589300502</v>
      </c>
      <c r="F7" s="28">
        <v>38.124093265134597</v>
      </c>
      <c r="G7" s="28">
        <v>38.132356120730996</v>
      </c>
      <c r="H7" s="28">
        <v>38.153591647106097</v>
      </c>
      <c r="I7" s="28">
        <v>38.153592647106102</v>
      </c>
      <c r="J7" s="28">
        <v>37.880903795711902</v>
      </c>
      <c r="K7" s="28">
        <v>37.861127468711899</v>
      </c>
      <c r="L7" s="28">
        <v>37.861126468711902</v>
      </c>
      <c r="M7" s="28">
        <v>37.789009210990301</v>
      </c>
      <c r="N7" s="28">
        <v>37.768427798107197</v>
      </c>
      <c r="O7" s="28">
        <v>37.7684267981072</v>
      </c>
      <c r="P7" s="28">
        <v>37.617060959212203</v>
      </c>
      <c r="Q7" s="28">
        <v>37.555196281413401</v>
      </c>
      <c r="R7" s="28">
        <v>37.505559813241</v>
      </c>
      <c r="S7" s="28">
        <v>37.447384950523897</v>
      </c>
      <c r="T7" s="28">
        <v>37.4473839505239</v>
      </c>
      <c r="U7" s="28">
        <v>37.408344706437802</v>
      </c>
      <c r="V7" s="28">
        <v>37.369518753608098</v>
      </c>
      <c r="W7" s="28">
        <v>37.330565581411399</v>
      </c>
      <c r="X7" s="28">
        <v>37.291325956590399</v>
      </c>
      <c r="Y7" s="28">
        <v>37.252009354328102</v>
      </c>
      <c r="Z7" s="28">
        <v>37.213604352480097</v>
      </c>
      <c r="AA7" s="28">
        <v>37.126440439738403</v>
      </c>
      <c r="AB7" s="28">
        <v>37.107191372613897</v>
      </c>
      <c r="AC7" s="28">
        <v>37.1071903726139</v>
      </c>
      <c r="AD7" s="56">
        <v>37.182627294878898</v>
      </c>
      <c r="AE7" s="33">
        <v>37.666174632113901</v>
      </c>
      <c r="AF7" s="33">
        <v>37.685850661451397</v>
      </c>
      <c r="AG7" s="33">
        <v>37.736811916786998</v>
      </c>
      <c r="AH7" s="33">
        <v>37.771730809733299</v>
      </c>
      <c r="AI7" s="33">
        <v>37.732589166835702</v>
      </c>
      <c r="AJ7" s="33">
        <v>37.722462773803301</v>
      </c>
      <c r="AK7" s="33">
        <v>37.606554613444999</v>
      </c>
      <c r="AL7" s="33">
        <v>37.574529256007501</v>
      </c>
      <c r="AM7" s="33">
        <v>37.486012124568802</v>
      </c>
      <c r="AN7" s="33">
        <v>37.486011124568797</v>
      </c>
      <c r="AO7" s="33">
        <v>37.4860101245688</v>
      </c>
      <c r="AP7" s="33">
        <v>37.484041167388902</v>
      </c>
      <c r="AQ7" s="33">
        <v>37.300021260332699</v>
      </c>
      <c r="AR7" s="33">
        <v>37.153960724461498</v>
      </c>
      <c r="AS7" s="33">
        <v>37.055218489919497</v>
      </c>
      <c r="AT7" s="33">
        <v>36.967526273008602</v>
      </c>
      <c r="AU7" s="33">
        <v>36.909832667776399</v>
      </c>
      <c r="AV7" s="33">
        <v>36.753738980080797</v>
      </c>
      <c r="AW7" s="33">
        <v>36.610062269326399</v>
      </c>
      <c r="AX7" s="33">
        <v>36.4743983433913</v>
      </c>
      <c r="AY7" s="33">
        <v>36.474397343391303</v>
      </c>
      <c r="AZ7" s="33">
        <v>36.449067077440397</v>
      </c>
      <c r="BA7" s="33">
        <v>36.369487956803702</v>
      </c>
      <c r="BB7" s="33">
        <v>36.369486956803698</v>
      </c>
      <c r="BC7" s="33">
        <v>36.3694859568037</v>
      </c>
    </row>
    <row r="8" spans="1:55" x14ac:dyDescent="0.3">
      <c r="A8">
        <v>4</v>
      </c>
      <c r="B8" s="35">
        <v>36.713327319841497</v>
      </c>
      <c r="C8" s="32">
        <v>4</v>
      </c>
      <c r="D8" s="28">
        <v>37.990667104023998</v>
      </c>
      <c r="E8" s="28">
        <v>38.122722245264498</v>
      </c>
      <c r="F8" s="28">
        <v>38.3326296610404</v>
      </c>
      <c r="G8" s="28">
        <v>38.346875639748802</v>
      </c>
      <c r="H8" s="28">
        <v>38.370949726334601</v>
      </c>
      <c r="I8" s="28">
        <v>38.370950726334598</v>
      </c>
      <c r="J8" s="28">
        <v>38.096261787937003</v>
      </c>
      <c r="K8" s="28">
        <v>38.068855509257297</v>
      </c>
      <c r="L8" s="28">
        <v>38.068854509257299</v>
      </c>
      <c r="M8" s="28">
        <v>37.980509118373099</v>
      </c>
      <c r="N8" s="28">
        <v>37.953579825877597</v>
      </c>
      <c r="O8" s="28">
        <v>37.950729823718099</v>
      </c>
      <c r="P8" s="28">
        <v>37.8076217566636</v>
      </c>
      <c r="Q8" s="28">
        <v>37.746408904823198</v>
      </c>
      <c r="R8" s="28">
        <v>37.696275156442397</v>
      </c>
      <c r="S8" s="28">
        <v>37.633360580768503</v>
      </c>
      <c r="T8" s="28">
        <v>37.633359580768499</v>
      </c>
      <c r="U8" s="28">
        <v>37.594297801555498</v>
      </c>
      <c r="V8" s="28">
        <v>37.554929450842899</v>
      </c>
      <c r="W8" s="28">
        <v>37.515687643278902</v>
      </c>
      <c r="X8" s="28">
        <v>37.476365686869897</v>
      </c>
      <c r="Y8" s="28">
        <v>37.437138995976603</v>
      </c>
      <c r="Z8" s="28">
        <v>37.3965481765118</v>
      </c>
      <c r="AA8" s="28">
        <v>37.301341843451802</v>
      </c>
      <c r="AB8" s="28">
        <v>37.279837274679998</v>
      </c>
      <c r="AC8" s="28">
        <v>37.279836274680001</v>
      </c>
      <c r="AD8" s="56">
        <v>36.718306533881602</v>
      </c>
      <c r="AE8" s="33">
        <v>37.220779062855399</v>
      </c>
      <c r="AF8" s="33">
        <v>37.220780062855397</v>
      </c>
      <c r="AG8" s="33">
        <v>37.242889174726002</v>
      </c>
      <c r="AH8" s="33">
        <v>37.270540667482798</v>
      </c>
      <c r="AI8" s="33">
        <v>37.236972637614301</v>
      </c>
      <c r="AJ8" s="33">
        <v>37.236971637614303</v>
      </c>
      <c r="AK8" s="33">
        <v>37.147565959412098</v>
      </c>
      <c r="AL8" s="33">
        <v>37.138386928428403</v>
      </c>
      <c r="AM8" s="33">
        <v>37.071855648786098</v>
      </c>
      <c r="AN8" s="33">
        <v>37.0718546487861</v>
      </c>
      <c r="AO8" s="33">
        <v>37.071853648786103</v>
      </c>
      <c r="AP8" s="33">
        <v>37.071852648786098</v>
      </c>
      <c r="AQ8" s="33">
        <v>36.9259637306874</v>
      </c>
      <c r="AR8" s="33">
        <v>36.769806718588598</v>
      </c>
      <c r="AS8" s="33">
        <v>36.669388188625</v>
      </c>
      <c r="AT8" s="33">
        <v>36.575849034366101</v>
      </c>
      <c r="AU8" s="33">
        <v>36.527372528871098</v>
      </c>
      <c r="AV8" s="33">
        <v>36.353088309385001</v>
      </c>
      <c r="AW8" s="33">
        <v>36.210591382347602</v>
      </c>
      <c r="AX8" s="33">
        <v>36.0728576694883</v>
      </c>
      <c r="AY8" s="33">
        <v>36.072856669488303</v>
      </c>
      <c r="AZ8" s="33">
        <v>36.051399896953598</v>
      </c>
      <c r="BA8" s="33">
        <v>35.968694895261201</v>
      </c>
      <c r="BB8" s="33">
        <v>35.968693895261197</v>
      </c>
      <c r="BC8" s="33">
        <v>35.968692895261199</v>
      </c>
    </row>
    <row r="9" spans="1:55" x14ac:dyDescent="0.3">
      <c r="A9">
        <v>5</v>
      </c>
      <c r="B9" s="35">
        <v>36.228867437573001</v>
      </c>
      <c r="C9" s="32">
        <v>5</v>
      </c>
      <c r="D9" s="28">
        <v>37.579962913315597</v>
      </c>
      <c r="E9" s="28">
        <v>37.6979731551301</v>
      </c>
      <c r="F9" s="28">
        <v>37.859411585492403</v>
      </c>
      <c r="G9" s="28">
        <v>37.8611149639042</v>
      </c>
      <c r="H9" s="28">
        <v>37.882825366163701</v>
      </c>
      <c r="I9" s="28">
        <v>37.882826366163698</v>
      </c>
      <c r="J9" s="28">
        <v>37.607658689464998</v>
      </c>
      <c r="K9" s="28">
        <v>37.600618970344001</v>
      </c>
      <c r="L9" s="28">
        <v>37.600617970343997</v>
      </c>
      <c r="M9" s="28">
        <v>37.5551618344753</v>
      </c>
      <c r="N9" s="28">
        <v>37.546712471890103</v>
      </c>
      <c r="O9" s="28">
        <v>37.546711471890099</v>
      </c>
      <c r="P9" s="28">
        <v>37.417167487584898</v>
      </c>
      <c r="Q9" s="28">
        <v>37.358932986231999</v>
      </c>
      <c r="R9" s="28">
        <v>37.312499933645299</v>
      </c>
      <c r="S9" s="28">
        <v>37.255083206643398</v>
      </c>
      <c r="T9" s="28">
        <v>37.255082206643401</v>
      </c>
      <c r="U9" s="28">
        <v>37.217205584532302</v>
      </c>
      <c r="V9" s="28">
        <v>37.1753565969085</v>
      </c>
      <c r="W9" s="28">
        <v>37.136472437517398</v>
      </c>
      <c r="X9" s="28">
        <v>37.098004963345701</v>
      </c>
      <c r="Y9" s="28">
        <v>37.0542242725774</v>
      </c>
      <c r="Z9" s="28">
        <v>37.0155765142758</v>
      </c>
      <c r="AA9" s="28">
        <v>36.9277994960377</v>
      </c>
      <c r="AB9" s="28">
        <v>36.907190290312101</v>
      </c>
      <c r="AC9" s="28">
        <v>36.907189290312097</v>
      </c>
      <c r="AD9" s="56">
        <v>36.9590455086026</v>
      </c>
      <c r="AE9" s="33">
        <v>37.465629846381802</v>
      </c>
      <c r="AF9" s="33">
        <v>37.474239109353</v>
      </c>
      <c r="AG9" s="33">
        <v>37.521041907943399</v>
      </c>
      <c r="AH9" s="33">
        <v>37.549459643771897</v>
      </c>
      <c r="AI9" s="33">
        <v>37.5117396239283</v>
      </c>
      <c r="AJ9" s="33">
        <v>37.508978101596497</v>
      </c>
      <c r="AK9" s="33">
        <v>37.396633177756499</v>
      </c>
      <c r="AL9" s="33">
        <v>37.377703222131601</v>
      </c>
      <c r="AM9" s="33">
        <v>37.281356495962001</v>
      </c>
      <c r="AN9" s="33">
        <v>37.281355495962003</v>
      </c>
      <c r="AO9" s="33">
        <v>37.281354495961999</v>
      </c>
      <c r="AP9" s="33">
        <v>37.281353495962001</v>
      </c>
      <c r="AQ9" s="33">
        <v>37.099006593217801</v>
      </c>
      <c r="AR9" s="33">
        <v>36.9544218980529</v>
      </c>
      <c r="AS9" s="33">
        <v>36.859013764341398</v>
      </c>
      <c r="AT9" s="33">
        <v>36.768387164329802</v>
      </c>
      <c r="AU9" s="33">
        <v>36.720253093238497</v>
      </c>
      <c r="AV9" s="33">
        <v>36.578460983117402</v>
      </c>
      <c r="AW9" s="33">
        <v>36.441783770906497</v>
      </c>
      <c r="AX9" s="33">
        <v>36.306598460591502</v>
      </c>
      <c r="AY9" s="33">
        <v>36.306597460591497</v>
      </c>
      <c r="AZ9" s="33">
        <v>36.286299711968297</v>
      </c>
      <c r="BA9" s="33">
        <v>36.191842115781697</v>
      </c>
      <c r="BB9" s="33">
        <v>36.191841115781699</v>
      </c>
      <c r="BC9" s="33">
        <v>36.191840115781702</v>
      </c>
    </row>
    <row r="10" spans="1:55" x14ac:dyDescent="0.3">
      <c r="A10">
        <v>6</v>
      </c>
      <c r="B10" s="35">
        <v>36.549153005801401</v>
      </c>
      <c r="C10" s="32">
        <v>6</v>
      </c>
      <c r="D10" s="28">
        <v>37.809599383075998</v>
      </c>
      <c r="E10" s="28">
        <v>37.933851898985402</v>
      </c>
      <c r="F10" s="28">
        <v>38.103864075621701</v>
      </c>
      <c r="G10" s="28">
        <v>38.112285685578797</v>
      </c>
      <c r="H10" s="28">
        <v>38.134673196457904</v>
      </c>
      <c r="I10" s="28">
        <v>38.048351516744297</v>
      </c>
      <c r="J10" s="28">
        <v>37.8655340083723</v>
      </c>
      <c r="K10" s="28">
        <v>37.8474461290688</v>
      </c>
      <c r="L10" s="28">
        <v>37.847445129068802</v>
      </c>
      <c r="M10" s="28">
        <v>37.774667148604699</v>
      </c>
      <c r="N10" s="28">
        <v>37.756031765682302</v>
      </c>
      <c r="O10" s="28">
        <v>37.756030765682297</v>
      </c>
      <c r="P10" s="28">
        <v>37.6185970923895</v>
      </c>
      <c r="Q10" s="28">
        <v>37.561263978770697</v>
      </c>
      <c r="R10" s="28">
        <v>37.512896715107999</v>
      </c>
      <c r="S10" s="28">
        <v>37.455247998908803</v>
      </c>
      <c r="T10" s="28">
        <v>37.455246998908798</v>
      </c>
      <c r="U10" s="28">
        <v>37.417532967630102</v>
      </c>
      <c r="V10" s="28">
        <v>37.376324755807801</v>
      </c>
      <c r="W10" s="28">
        <v>37.337060682897302</v>
      </c>
      <c r="X10" s="28">
        <v>37.298417502785803</v>
      </c>
      <c r="Y10" s="28">
        <v>37.259478123618202</v>
      </c>
      <c r="Z10" s="28">
        <v>37.2189025642042</v>
      </c>
      <c r="AA10" s="28">
        <v>37.132456135901897</v>
      </c>
      <c r="AB10" s="28">
        <v>37.113228050567301</v>
      </c>
      <c r="AC10" s="28">
        <v>37.113227050567303</v>
      </c>
      <c r="AD10" s="56">
        <v>37.5377454924975</v>
      </c>
      <c r="AE10" s="33">
        <v>38.053570826084602</v>
      </c>
      <c r="AF10" s="33">
        <v>38.092001251070997</v>
      </c>
      <c r="AG10" s="33">
        <v>38.158520179680899</v>
      </c>
      <c r="AH10" s="33">
        <v>38.194403301682897</v>
      </c>
      <c r="AI10" s="33">
        <v>38.150992495917599</v>
      </c>
      <c r="AJ10" s="33">
        <v>38.125614044335997</v>
      </c>
      <c r="AK10" s="33">
        <v>37.9913736578509</v>
      </c>
      <c r="AL10" s="33">
        <v>37.939380403627901</v>
      </c>
      <c r="AM10" s="33">
        <v>37.826437696239303</v>
      </c>
      <c r="AN10" s="33">
        <v>37.826436696239298</v>
      </c>
      <c r="AO10" s="33">
        <v>37.826435696239301</v>
      </c>
      <c r="AP10" s="33">
        <v>37.791190763965503</v>
      </c>
      <c r="AQ10" s="33">
        <v>37.600260392481303</v>
      </c>
      <c r="AR10" s="33">
        <v>37.453491863083897</v>
      </c>
      <c r="AS10" s="33">
        <v>37.349139329022798</v>
      </c>
      <c r="AT10" s="33">
        <v>37.259011616357498</v>
      </c>
      <c r="AU10" s="33">
        <v>37.210282033516798</v>
      </c>
      <c r="AV10" s="33">
        <v>37.060434913363999</v>
      </c>
      <c r="AW10" s="33">
        <v>36.919151643028499</v>
      </c>
      <c r="AX10" s="33">
        <v>36.781242918433499</v>
      </c>
      <c r="AY10" s="33">
        <v>36.781241918433501</v>
      </c>
      <c r="AZ10" s="33">
        <v>36.759430154125802</v>
      </c>
      <c r="BA10" s="33">
        <v>36.6786557883472</v>
      </c>
      <c r="BB10" s="33">
        <v>36.678654788347202</v>
      </c>
      <c r="BC10" s="33">
        <v>36.678653788347198</v>
      </c>
    </row>
    <row r="11" spans="1:55" x14ac:dyDescent="0.3">
      <c r="A11">
        <v>7</v>
      </c>
      <c r="B11" s="35">
        <v>36.547956084719999</v>
      </c>
      <c r="C11" s="32">
        <v>7</v>
      </c>
      <c r="D11" s="28">
        <v>37.786844629784802</v>
      </c>
      <c r="E11" s="28">
        <v>37.911032212783503</v>
      </c>
      <c r="F11" s="28">
        <v>38.080880343079698</v>
      </c>
      <c r="G11" s="28">
        <v>38.089393140608003</v>
      </c>
      <c r="H11" s="28">
        <v>38.109887012063801</v>
      </c>
      <c r="I11" s="28">
        <v>38.034053891533901</v>
      </c>
      <c r="J11" s="28">
        <v>37.855598167719201</v>
      </c>
      <c r="K11" s="28">
        <v>37.838273553367202</v>
      </c>
      <c r="L11" s="28">
        <v>37.838272553367197</v>
      </c>
      <c r="M11" s="28">
        <v>37.765040664300798</v>
      </c>
      <c r="N11" s="28">
        <v>37.7462585472528</v>
      </c>
      <c r="O11" s="28">
        <v>37.746257547252803</v>
      </c>
      <c r="P11" s="28">
        <v>37.611942983786797</v>
      </c>
      <c r="Q11" s="28">
        <v>37.553525069132498</v>
      </c>
      <c r="R11" s="28">
        <v>37.502063462790197</v>
      </c>
      <c r="S11" s="28">
        <v>37.443412943474797</v>
      </c>
      <c r="T11" s="28">
        <v>37.4434119434748</v>
      </c>
      <c r="U11" s="28">
        <v>37.403219540042102</v>
      </c>
      <c r="V11" s="28">
        <v>37.364830917891901</v>
      </c>
      <c r="W11" s="28">
        <v>37.324709184076603</v>
      </c>
      <c r="X11" s="28">
        <v>37.286176687632803</v>
      </c>
      <c r="Y11" s="28">
        <v>37.245620307861898</v>
      </c>
      <c r="Z11" s="28">
        <v>37.204119240282701</v>
      </c>
      <c r="AA11" s="28">
        <v>37.116349347561901</v>
      </c>
      <c r="AB11" s="28">
        <v>37.096785685605703</v>
      </c>
      <c r="AC11" s="28">
        <v>37.096784685605698</v>
      </c>
      <c r="AD11" s="56">
        <v>36.479464504460502</v>
      </c>
      <c r="AE11" s="33">
        <v>36.962701119452902</v>
      </c>
      <c r="AF11" s="33">
        <v>36.962702119452899</v>
      </c>
      <c r="AG11" s="33">
        <v>36.962703119452897</v>
      </c>
      <c r="AH11" s="33">
        <v>36.963286936509199</v>
      </c>
      <c r="AI11" s="33">
        <v>36.933024905115602</v>
      </c>
      <c r="AJ11" s="33">
        <v>36.933023905115597</v>
      </c>
      <c r="AK11" s="33">
        <v>36.864346812775302</v>
      </c>
      <c r="AL11" s="33">
        <v>36.864345812775298</v>
      </c>
      <c r="AM11" s="33">
        <v>36.813385535038798</v>
      </c>
      <c r="AN11" s="33">
        <v>36.8133845350388</v>
      </c>
      <c r="AO11" s="33">
        <v>36.813383535038803</v>
      </c>
      <c r="AP11" s="33">
        <v>36.813382535038798</v>
      </c>
      <c r="AQ11" s="33">
        <v>36.690867111409197</v>
      </c>
      <c r="AR11" s="33">
        <v>36.544556947885397</v>
      </c>
      <c r="AS11" s="33">
        <v>36.442235768540598</v>
      </c>
      <c r="AT11" s="33">
        <v>36.3539456229121</v>
      </c>
      <c r="AU11" s="33">
        <v>36.304916582923099</v>
      </c>
      <c r="AV11" s="33">
        <v>36.156949275323797</v>
      </c>
      <c r="AW11" s="33">
        <v>36.006904660320501</v>
      </c>
      <c r="AX11" s="33">
        <v>35.869799626936903</v>
      </c>
      <c r="AY11" s="33">
        <v>35.869798626936898</v>
      </c>
      <c r="AZ11" s="33">
        <v>35.850379729009703</v>
      </c>
      <c r="BA11" s="33">
        <v>35.772934016836899</v>
      </c>
      <c r="BB11" s="33">
        <v>35.772933016836902</v>
      </c>
      <c r="BC11" s="33">
        <v>35.772932016836897</v>
      </c>
    </row>
    <row r="12" spans="1:55" x14ac:dyDescent="0.3">
      <c r="A12">
        <v>8</v>
      </c>
      <c r="B12" s="35">
        <v>35.8377970600338</v>
      </c>
      <c r="C12" s="32">
        <v>8</v>
      </c>
      <c r="D12" s="28">
        <v>37.149905741324197</v>
      </c>
      <c r="E12" s="28">
        <v>37.247963121189997</v>
      </c>
      <c r="F12" s="28">
        <v>37.422397353619097</v>
      </c>
      <c r="G12" s="28">
        <v>37.422398353619101</v>
      </c>
      <c r="H12" s="28">
        <v>37.424142930296597</v>
      </c>
      <c r="I12" s="28">
        <v>37.424143930296601</v>
      </c>
      <c r="J12" s="28">
        <v>37.201939656112202</v>
      </c>
      <c r="K12" s="28">
        <v>37.201938656112198</v>
      </c>
      <c r="L12" s="28">
        <v>37.2019376561122</v>
      </c>
      <c r="M12" s="28">
        <v>37.201936656112203</v>
      </c>
      <c r="N12" s="28">
        <v>37.201935656112198</v>
      </c>
      <c r="O12" s="28">
        <v>37.201934656112201</v>
      </c>
      <c r="P12" s="28">
        <v>37.1076500873722</v>
      </c>
      <c r="Q12" s="28">
        <v>37.059866663171597</v>
      </c>
      <c r="R12" s="28">
        <v>37.015203256325599</v>
      </c>
      <c r="S12" s="28">
        <v>36.958576559904799</v>
      </c>
      <c r="T12" s="28">
        <v>36.958575559904801</v>
      </c>
      <c r="U12" s="28">
        <v>36.922225244785302</v>
      </c>
      <c r="V12" s="28">
        <v>36.879471210259801</v>
      </c>
      <c r="W12" s="28">
        <v>36.839972070909198</v>
      </c>
      <c r="X12" s="28">
        <v>36.801419368984803</v>
      </c>
      <c r="Y12" s="28">
        <v>36.762674529594896</v>
      </c>
      <c r="Z12" s="28">
        <v>36.723434299697601</v>
      </c>
      <c r="AA12" s="28">
        <v>36.637031820636899</v>
      </c>
      <c r="AB12" s="28">
        <v>36.617053856507802</v>
      </c>
      <c r="AC12" s="28">
        <v>36.617052856507797</v>
      </c>
      <c r="AD12" s="56">
        <v>36.997889811759002</v>
      </c>
      <c r="AE12" s="33">
        <v>37.492787187991198</v>
      </c>
      <c r="AF12" s="33">
        <v>37.504301472071901</v>
      </c>
      <c r="AG12" s="33">
        <v>37.549318453033599</v>
      </c>
      <c r="AH12" s="33">
        <v>37.579208456772697</v>
      </c>
      <c r="AI12" s="33">
        <v>37.542323233214702</v>
      </c>
      <c r="AJ12" s="33">
        <v>37.538136834555502</v>
      </c>
      <c r="AK12" s="33">
        <v>37.393109474214199</v>
      </c>
      <c r="AL12" s="33">
        <v>37.373693728921701</v>
      </c>
      <c r="AM12" s="33">
        <v>37.296418805373001</v>
      </c>
      <c r="AN12" s="33">
        <v>37.296417805372997</v>
      </c>
      <c r="AO12" s="33">
        <v>37.296416805372999</v>
      </c>
      <c r="AP12" s="33">
        <v>37.296415805373002</v>
      </c>
      <c r="AQ12" s="33">
        <v>37.141202198952399</v>
      </c>
      <c r="AR12" s="33">
        <v>36.993128927578603</v>
      </c>
      <c r="AS12" s="33">
        <v>36.897760104861703</v>
      </c>
      <c r="AT12" s="33">
        <v>36.800535843931101</v>
      </c>
      <c r="AU12" s="33">
        <v>36.749288277643501</v>
      </c>
      <c r="AV12" s="33">
        <v>36.607296816513603</v>
      </c>
      <c r="AW12" s="33">
        <v>36.465294394805198</v>
      </c>
      <c r="AX12" s="33">
        <v>36.329315656572803</v>
      </c>
      <c r="AY12" s="33">
        <v>36.329314656572798</v>
      </c>
      <c r="AZ12" s="33">
        <v>36.310335502612901</v>
      </c>
      <c r="BA12" s="33">
        <v>36.2326665247435</v>
      </c>
      <c r="BB12" s="33">
        <v>36.232665524743503</v>
      </c>
      <c r="BC12" s="33">
        <v>36.232664524743498</v>
      </c>
    </row>
    <row r="13" spans="1:55" x14ac:dyDescent="0.3">
      <c r="A13">
        <v>9</v>
      </c>
      <c r="B13" s="35">
        <v>36.960384721131298</v>
      </c>
      <c r="C13" s="32">
        <v>9</v>
      </c>
      <c r="D13" s="28">
        <v>38.140734682043202</v>
      </c>
      <c r="E13" s="28">
        <v>38.281406769847202</v>
      </c>
      <c r="F13" s="28">
        <v>38.482335766318599</v>
      </c>
      <c r="G13" s="28">
        <v>38.501024925712699</v>
      </c>
      <c r="H13" s="28">
        <v>38.527571153130403</v>
      </c>
      <c r="I13" s="28">
        <v>38.5275721531304</v>
      </c>
      <c r="J13" s="28">
        <v>38.254242351338497</v>
      </c>
      <c r="K13" s="28">
        <v>38.2201226337436</v>
      </c>
      <c r="L13" s="28">
        <v>38.220121633743602</v>
      </c>
      <c r="M13" s="28">
        <v>38.115030798463302</v>
      </c>
      <c r="N13" s="28">
        <v>38.081278862071201</v>
      </c>
      <c r="O13" s="28">
        <v>38.073782349675199</v>
      </c>
      <c r="P13" s="28">
        <v>37.928140339071298</v>
      </c>
      <c r="Q13" s="28">
        <v>37.8647808404587</v>
      </c>
      <c r="R13" s="28">
        <v>37.813039018282197</v>
      </c>
      <c r="S13" s="28">
        <v>37.745545638246398</v>
      </c>
      <c r="T13" s="28">
        <v>37.7455446382464</v>
      </c>
      <c r="U13" s="28">
        <v>37.703773044249303</v>
      </c>
      <c r="V13" s="28">
        <v>37.663719065432801</v>
      </c>
      <c r="W13" s="28">
        <v>37.622493598271703</v>
      </c>
      <c r="X13" s="28">
        <v>37.584015441134198</v>
      </c>
      <c r="Y13" s="28">
        <v>37.543914998572298</v>
      </c>
      <c r="Z13" s="28">
        <v>37.504186697624597</v>
      </c>
      <c r="AA13" s="28">
        <v>37.415903587017503</v>
      </c>
      <c r="AB13" s="28">
        <v>37.396713004724198</v>
      </c>
      <c r="AC13" s="28">
        <v>37.396712004724201</v>
      </c>
      <c r="AD13" s="56">
        <v>37.437707230352899</v>
      </c>
      <c r="AE13" s="33">
        <v>37.945509600794303</v>
      </c>
      <c r="AF13" s="33">
        <v>37.980551055703003</v>
      </c>
      <c r="AG13" s="33">
        <v>38.0452623515841</v>
      </c>
      <c r="AH13" s="33">
        <v>38.079716579373098</v>
      </c>
      <c r="AI13" s="33">
        <v>38.034854897718802</v>
      </c>
      <c r="AJ13" s="33">
        <v>38.016209578361497</v>
      </c>
      <c r="AK13" s="33">
        <v>37.867662094287802</v>
      </c>
      <c r="AL13" s="33">
        <v>37.824402130772</v>
      </c>
      <c r="AM13" s="33">
        <v>37.717478503156997</v>
      </c>
      <c r="AN13" s="33">
        <v>37.717477503156999</v>
      </c>
      <c r="AO13" s="33">
        <v>37.717476503157002</v>
      </c>
      <c r="AP13" s="33">
        <v>37.684071815471803</v>
      </c>
      <c r="AQ13" s="33">
        <v>37.4905690285429</v>
      </c>
      <c r="AR13" s="33">
        <v>37.339226145437202</v>
      </c>
      <c r="AS13" s="33">
        <v>37.231995692374802</v>
      </c>
      <c r="AT13" s="33">
        <v>37.145323154399598</v>
      </c>
      <c r="AU13" s="33">
        <v>37.093241776922703</v>
      </c>
      <c r="AV13" s="33">
        <v>36.936285765604701</v>
      </c>
      <c r="AW13" s="33">
        <v>36.799249537743997</v>
      </c>
      <c r="AX13" s="33">
        <v>36.658247033791298</v>
      </c>
      <c r="AY13" s="33">
        <v>36.658246033791301</v>
      </c>
      <c r="AZ13" s="33">
        <v>36.637963199139001</v>
      </c>
      <c r="BA13" s="33">
        <v>36.552829246120503</v>
      </c>
      <c r="BB13" s="33">
        <v>36.552828246120498</v>
      </c>
      <c r="BC13" s="33">
        <v>36.552827246120501</v>
      </c>
    </row>
    <row r="14" spans="1:55" x14ac:dyDescent="0.3">
      <c r="A14">
        <v>10</v>
      </c>
      <c r="B14" s="35">
        <v>36.791469310775398</v>
      </c>
      <c r="C14" s="32">
        <v>10</v>
      </c>
      <c r="D14" s="28">
        <v>38.103110428150103</v>
      </c>
      <c r="E14" s="28">
        <v>38.248347848541897</v>
      </c>
      <c r="F14" s="28">
        <v>38.436177895501103</v>
      </c>
      <c r="G14" s="28">
        <v>38.453582352177399</v>
      </c>
      <c r="H14" s="28">
        <v>38.478939413116898</v>
      </c>
      <c r="I14" s="28">
        <v>38.398892111516901</v>
      </c>
      <c r="J14" s="28">
        <v>38.2073174193049</v>
      </c>
      <c r="K14" s="28">
        <v>38.1751399065665</v>
      </c>
      <c r="L14" s="28">
        <v>38.175138906566502</v>
      </c>
      <c r="M14" s="28">
        <v>38.069942750696001</v>
      </c>
      <c r="N14" s="28">
        <v>38.038487208734303</v>
      </c>
      <c r="O14" s="28">
        <v>38.0325477312321</v>
      </c>
      <c r="P14" s="28">
        <v>37.877393359784499</v>
      </c>
      <c r="Q14" s="28">
        <v>37.814200169511103</v>
      </c>
      <c r="R14" s="28">
        <v>37.760130715455603</v>
      </c>
      <c r="S14" s="28">
        <v>37.701337390045303</v>
      </c>
      <c r="T14" s="28">
        <v>37.701336390045299</v>
      </c>
      <c r="U14" s="28">
        <v>37.662753852684098</v>
      </c>
      <c r="V14" s="28">
        <v>37.623744045203502</v>
      </c>
      <c r="W14" s="28">
        <v>37.584826495043401</v>
      </c>
      <c r="X14" s="28">
        <v>37.543837370780402</v>
      </c>
      <c r="Y14" s="28">
        <v>37.501189919293701</v>
      </c>
      <c r="Z14" s="28">
        <v>37.462370114964202</v>
      </c>
      <c r="AA14" s="28">
        <v>37.372430425224898</v>
      </c>
      <c r="AB14" s="28">
        <v>37.352926374634301</v>
      </c>
      <c r="AC14" s="28">
        <v>37.352925374634303</v>
      </c>
      <c r="AD14" s="56">
        <v>36.884272437075801</v>
      </c>
      <c r="AE14" s="33">
        <v>37.362209184017402</v>
      </c>
      <c r="AF14" s="33">
        <v>37.3622101840174</v>
      </c>
      <c r="AG14" s="33">
        <v>37.400838384532399</v>
      </c>
      <c r="AH14" s="33">
        <v>37.427233203074799</v>
      </c>
      <c r="AI14" s="33">
        <v>37.388480508863097</v>
      </c>
      <c r="AJ14" s="33">
        <v>37.388479508863099</v>
      </c>
      <c r="AK14" s="33">
        <v>37.282953537656397</v>
      </c>
      <c r="AL14" s="33">
        <v>37.268701705962201</v>
      </c>
      <c r="AM14" s="33">
        <v>37.194987706238301</v>
      </c>
      <c r="AN14" s="33">
        <v>37.194986706238303</v>
      </c>
      <c r="AO14" s="33">
        <v>37.194985706238299</v>
      </c>
      <c r="AP14" s="33">
        <v>37.194984706238301</v>
      </c>
      <c r="AQ14" s="33">
        <v>37.027070527356301</v>
      </c>
      <c r="AR14" s="33">
        <v>36.876387298533501</v>
      </c>
      <c r="AS14" s="33">
        <v>36.776141895199899</v>
      </c>
      <c r="AT14" s="33">
        <v>36.689015173840403</v>
      </c>
      <c r="AU14" s="33">
        <v>36.6394417469225</v>
      </c>
      <c r="AV14" s="33">
        <v>36.490829064345199</v>
      </c>
      <c r="AW14" s="33">
        <v>36.354007682426399</v>
      </c>
      <c r="AX14" s="33">
        <v>36.218350692764197</v>
      </c>
      <c r="AY14" s="33">
        <v>36.2183496927642</v>
      </c>
      <c r="AZ14" s="33">
        <v>36.197956297738003</v>
      </c>
      <c r="BA14" s="33">
        <v>36.120371228575898</v>
      </c>
      <c r="BB14" s="33">
        <v>36.120370228575901</v>
      </c>
      <c r="BC14" s="33">
        <v>36.120369228575903</v>
      </c>
    </row>
    <row r="15" spans="1:55" x14ac:dyDescent="0.3">
      <c r="A15">
        <v>11</v>
      </c>
      <c r="B15" s="35">
        <v>36.295069132637899</v>
      </c>
      <c r="C15" s="32">
        <v>11</v>
      </c>
      <c r="D15" s="28">
        <v>37.600638379959797</v>
      </c>
      <c r="E15" s="28">
        <v>37.721978323717003</v>
      </c>
      <c r="F15" s="28">
        <v>37.893385210029599</v>
      </c>
      <c r="G15" s="28">
        <v>37.895158320287003</v>
      </c>
      <c r="H15" s="28">
        <v>37.913257620814903</v>
      </c>
      <c r="I15" s="28">
        <v>37.840503786281701</v>
      </c>
      <c r="J15" s="28">
        <v>37.646571999535702</v>
      </c>
      <c r="K15" s="28">
        <v>37.637834619995402</v>
      </c>
      <c r="L15" s="28">
        <v>37.637833619995398</v>
      </c>
      <c r="M15" s="28">
        <v>37.587700736494199</v>
      </c>
      <c r="N15" s="28">
        <v>37.576468591078999</v>
      </c>
      <c r="O15" s="28">
        <v>37.576467591079002</v>
      </c>
      <c r="P15" s="28">
        <v>37.452006435670597</v>
      </c>
      <c r="Q15" s="28">
        <v>37.396371813804301</v>
      </c>
      <c r="R15" s="28">
        <v>37.349746559684</v>
      </c>
      <c r="S15" s="28">
        <v>37.291084319999399</v>
      </c>
      <c r="T15" s="28">
        <v>37.291083319999402</v>
      </c>
      <c r="U15" s="28">
        <v>37.252990129229303</v>
      </c>
      <c r="V15" s="28">
        <v>37.2088332300414</v>
      </c>
      <c r="W15" s="28">
        <v>37.167719881515403</v>
      </c>
      <c r="X15" s="28">
        <v>37.126108464498003</v>
      </c>
      <c r="Y15" s="28">
        <v>37.087372153197002</v>
      </c>
      <c r="Z15" s="28">
        <v>37.048768108705403</v>
      </c>
      <c r="AA15" s="28">
        <v>36.9450624392667</v>
      </c>
      <c r="AB15" s="28">
        <v>36.925237592042201</v>
      </c>
      <c r="AC15" s="28">
        <v>36.925236592042197</v>
      </c>
      <c r="AD15" s="56">
        <v>36.933021073131897</v>
      </c>
      <c r="AE15" s="33">
        <v>37.402783243533797</v>
      </c>
      <c r="AF15" s="33">
        <v>37.407113298677203</v>
      </c>
      <c r="AG15" s="33">
        <v>37.449125323845699</v>
      </c>
      <c r="AH15" s="33">
        <v>37.475839842273501</v>
      </c>
      <c r="AI15" s="33">
        <v>37.440463425008502</v>
      </c>
      <c r="AJ15" s="33">
        <v>37.439432497980803</v>
      </c>
      <c r="AK15" s="33">
        <v>37.334260377813202</v>
      </c>
      <c r="AL15" s="33">
        <v>37.318508240667803</v>
      </c>
      <c r="AM15" s="33">
        <v>37.242309299708602</v>
      </c>
      <c r="AN15" s="33">
        <v>37.242308299708597</v>
      </c>
      <c r="AO15" s="33">
        <v>37.2423072997086</v>
      </c>
      <c r="AP15" s="33">
        <v>37.242306299708602</v>
      </c>
      <c r="AQ15" s="33">
        <v>37.077415708730101</v>
      </c>
      <c r="AR15" s="33">
        <v>36.933880368202097</v>
      </c>
      <c r="AS15" s="33">
        <v>36.837648823472399</v>
      </c>
      <c r="AT15" s="33">
        <v>36.747138908553701</v>
      </c>
      <c r="AU15" s="33">
        <v>36.698626402846699</v>
      </c>
      <c r="AV15" s="33">
        <v>36.555127428269998</v>
      </c>
      <c r="AW15" s="33">
        <v>36.416348959578499</v>
      </c>
      <c r="AX15" s="33">
        <v>36.278765963745201</v>
      </c>
      <c r="AY15" s="33">
        <v>36.278764963745203</v>
      </c>
      <c r="AZ15" s="33">
        <v>36.2594685719653</v>
      </c>
      <c r="BA15" s="33">
        <v>36.182155380007998</v>
      </c>
      <c r="BB15" s="33">
        <v>36.182154380008001</v>
      </c>
      <c r="BC15" s="33">
        <v>36.182153380008003</v>
      </c>
    </row>
    <row r="16" spans="1:55" x14ac:dyDescent="0.3">
      <c r="A16">
        <v>12</v>
      </c>
      <c r="B16" s="35">
        <v>36.478853629299799</v>
      </c>
      <c r="C16" s="32">
        <v>12</v>
      </c>
      <c r="D16" s="28">
        <v>37.7495781924599</v>
      </c>
      <c r="E16" s="28">
        <v>37.882142201432998</v>
      </c>
      <c r="F16" s="28">
        <v>38.0531065645837</v>
      </c>
      <c r="G16" s="28">
        <v>38.059503029279199</v>
      </c>
      <c r="H16" s="28">
        <v>38.079153506736603</v>
      </c>
      <c r="I16" s="28">
        <v>38.000441582579903</v>
      </c>
      <c r="J16" s="28">
        <v>37.795755366242901</v>
      </c>
      <c r="K16" s="28">
        <v>37.780848867198401</v>
      </c>
      <c r="L16" s="28">
        <v>37.780847867198403</v>
      </c>
      <c r="M16" s="28">
        <v>37.715977105412399</v>
      </c>
      <c r="N16" s="28">
        <v>37.700560126472297</v>
      </c>
      <c r="O16" s="28">
        <v>37.700559126472299</v>
      </c>
      <c r="P16" s="28">
        <v>37.555854547435999</v>
      </c>
      <c r="Q16" s="28">
        <v>37.498366715314098</v>
      </c>
      <c r="R16" s="28">
        <v>37.447268075533401</v>
      </c>
      <c r="S16" s="28">
        <v>37.385570871811296</v>
      </c>
      <c r="T16" s="28">
        <v>37.385569871811299</v>
      </c>
      <c r="U16" s="28">
        <v>37.342476024136502</v>
      </c>
      <c r="V16" s="28">
        <v>37.304015586767697</v>
      </c>
      <c r="W16" s="28">
        <v>37.257025960733003</v>
      </c>
      <c r="X16" s="28">
        <v>37.215459658487198</v>
      </c>
      <c r="Y16" s="28">
        <v>37.176575097873901</v>
      </c>
      <c r="Z16" s="28">
        <v>37.136981500076502</v>
      </c>
      <c r="AA16" s="28">
        <v>37.044062508249297</v>
      </c>
      <c r="AB16" s="28">
        <v>37.023424824598798</v>
      </c>
      <c r="AC16" s="28">
        <v>37.023423824598801</v>
      </c>
      <c r="AD16" s="56">
        <v>37.0846164763419</v>
      </c>
      <c r="AE16" s="33">
        <v>37.584918410952298</v>
      </c>
      <c r="AF16" s="33">
        <v>37.602745243101502</v>
      </c>
      <c r="AG16" s="33">
        <v>37.651995930041998</v>
      </c>
      <c r="AH16" s="33">
        <v>37.681052184067603</v>
      </c>
      <c r="AI16" s="33">
        <v>37.642443337141501</v>
      </c>
      <c r="AJ16" s="33">
        <v>37.635574885395698</v>
      </c>
      <c r="AK16" s="33">
        <v>37.521426656415201</v>
      </c>
      <c r="AL16" s="33">
        <v>37.492395572292502</v>
      </c>
      <c r="AM16" s="33">
        <v>37.408926812350103</v>
      </c>
      <c r="AN16" s="33">
        <v>37.408925812350098</v>
      </c>
      <c r="AO16" s="33">
        <v>37.408924812350101</v>
      </c>
      <c r="AP16" s="33">
        <v>37.408923812350103</v>
      </c>
      <c r="AQ16" s="33">
        <v>37.205016169697998</v>
      </c>
      <c r="AR16" s="33">
        <v>37.051757758880299</v>
      </c>
      <c r="AS16" s="33">
        <v>36.954607482362597</v>
      </c>
      <c r="AT16" s="33">
        <v>36.867481015149203</v>
      </c>
      <c r="AU16" s="33">
        <v>36.8194723336699</v>
      </c>
      <c r="AV16" s="33">
        <v>36.673808750013301</v>
      </c>
      <c r="AW16" s="33">
        <v>36.533606116748103</v>
      </c>
      <c r="AX16" s="33">
        <v>36.383916136542297</v>
      </c>
      <c r="AY16" s="33">
        <v>36.383915136542299</v>
      </c>
      <c r="AZ16" s="33">
        <v>36.363551173055697</v>
      </c>
      <c r="BA16" s="33">
        <v>36.280928949737103</v>
      </c>
      <c r="BB16" s="33">
        <v>36.280927949737098</v>
      </c>
      <c r="BC16" s="33">
        <v>36.280926949737101</v>
      </c>
    </row>
    <row r="17" spans="1:55" x14ac:dyDescent="0.3">
      <c r="A17">
        <v>13</v>
      </c>
      <c r="B17" s="35">
        <v>36.752921459210299</v>
      </c>
      <c r="C17" s="32">
        <v>13</v>
      </c>
      <c r="D17" s="28">
        <v>38.032518874765799</v>
      </c>
      <c r="E17" s="28">
        <v>38.1721914399591</v>
      </c>
      <c r="F17" s="28">
        <v>38.363238740710798</v>
      </c>
      <c r="G17" s="28">
        <v>38.379249995193199</v>
      </c>
      <c r="H17" s="28">
        <v>38.403691998454804</v>
      </c>
      <c r="I17" s="28">
        <v>38.324050971431802</v>
      </c>
      <c r="J17" s="28">
        <v>38.134859794969202</v>
      </c>
      <c r="K17" s="28">
        <v>38.100844264749298</v>
      </c>
      <c r="L17" s="28">
        <v>38.100843264749301</v>
      </c>
      <c r="M17" s="28">
        <v>38.0078673401893</v>
      </c>
      <c r="N17" s="28">
        <v>37.976690723766701</v>
      </c>
      <c r="O17" s="28">
        <v>37.972999798865501</v>
      </c>
      <c r="P17" s="28">
        <v>37.823622755011897</v>
      </c>
      <c r="Q17" s="28">
        <v>37.756676391555203</v>
      </c>
      <c r="R17" s="28">
        <v>37.706241552349198</v>
      </c>
      <c r="S17" s="28">
        <v>37.647828391527398</v>
      </c>
      <c r="T17" s="28">
        <v>37.6478273915274</v>
      </c>
      <c r="U17" s="28">
        <v>37.606336255321303</v>
      </c>
      <c r="V17" s="28">
        <v>37.567410018459597</v>
      </c>
      <c r="W17" s="28">
        <v>37.528907155216302</v>
      </c>
      <c r="X17" s="28">
        <v>37.489602721360399</v>
      </c>
      <c r="Y17" s="28">
        <v>37.451107520879603</v>
      </c>
      <c r="Z17" s="28">
        <v>37.4120935856266</v>
      </c>
      <c r="AA17" s="28">
        <v>37.321773150213403</v>
      </c>
      <c r="AB17" s="28">
        <v>37.298726465796697</v>
      </c>
      <c r="AC17" s="28">
        <v>37.2987254657967</v>
      </c>
      <c r="AD17" s="56">
        <v>37.496212928883999</v>
      </c>
      <c r="AE17" s="33">
        <v>38.038636947236597</v>
      </c>
      <c r="AF17" s="33">
        <v>38.077026381664197</v>
      </c>
      <c r="AG17" s="33">
        <v>38.1388769744378</v>
      </c>
      <c r="AH17" s="33">
        <v>38.172852656377898</v>
      </c>
      <c r="AI17" s="33">
        <v>38.127791638188398</v>
      </c>
      <c r="AJ17" s="33">
        <v>38.106234982014897</v>
      </c>
      <c r="AK17" s="33">
        <v>37.959491823904401</v>
      </c>
      <c r="AL17" s="33">
        <v>37.908564785160699</v>
      </c>
      <c r="AM17" s="33">
        <v>37.803509236075101</v>
      </c>
      <c r="AN17" s="33">
        <v>37.803508236075103</v>
      </c>
      <c r="AO17" s="33">
        <v>37.803507236075099</v>
      </c>
      <c r="AP17" s="33">
        <v>37.761390137777298</v>
      </c>
      <c r="AQ17" s="33">
        <v>37.565161187152</v>
      </c>
      <c r="AR17" s="33">
        <v>37.415558148906101</v>
      </c>
      <c r="AS17" s="33">
        <v>37.312230258575603</v>
      </c>
      <c r="AT17" s="33">
        <v>37.209673927265399</v>
      </c>
      <c r="AU17" s="33">
        <v>37.157332971200702</v>
      </c>
      <c r="AV17" s="33">
        <v>37.008556056148798</v>
      </c>
      <c r="AW17" s="33">
        <v>36.867755647276802</v>
      </c>
      <c r="AX17" s="33">
        <v>36.723467334079501</v>
      </c>
      <c r="AY17" s="33">
        <v>36.723466334079497</v>
      </c>
      <c r="AZ17" s="33">
        <v>36.704089640742403</v>
      </c>
      <c r="BA17" s="33">
        <v>36.625485808840601</v>
      </c>
      <c r="BB17" s="33">
        <v>36.625484808840604</v>
      </c>
      <c r="BC17" s="33">
        <v>36.625483808840599</v>
      </c>
    </row>
    <row r="18" spans="1:55" x14ac:dyDescent="0.3">
      <c r="A18">
        <v>14</v>
      </c>
      <c r="B18" s="35">
        <v>36.4424886860143</v>
      </c>
      <c r="C18" s="32">
        <v>14</v>
      </c>
      <c r="D18" s="28">
        <v>37.749004448479702</v>
      </c>
      <c r="E18" s="28">
        <v>37.8703491099742</v>
      </c>
      <c r="F18" s="28">
        <v>38.046299649822501</v>
      </c>
      <c r="G18" s="28">
        <v>38.0534461116846</v>
      </c>
      <c r="H18" s="28">
        <v>38.0733490455751</v>
      </c>
      <c r="I18" s="28">
        <v>37.998062362391202</v>
      </c>
      <c r="J18" s="28">
        <v>37.795704091670601</v>
      </c>
      <c r="K18" s="28">
        <v>37.779176948588102</v>
      </c>
      <c r="L18" s="28">
        <v>37.779175948588097</v>
      </c>
      <c r="M18" s="28">
        <v>37.7194802368018</v>
      </c>
      <c r="N18" s="28">
        <v>37.704330250181499</v>
      </c>
      <c r="O18" s="28">
        <v>37.704329250181502</v>
      </c>
      <c r="P18" s="28">
        <v>37.572004544353803</v>
      </c>
      <c r="Q18" s="28">
        <v>37.513567127300099</v>
      </c>
      <c r="R18" s="28">
        <v>37.465857213226897</v>
      </c>
      <c r="S18" s="28">
        <v>37.405146504341303</v>
      </c>
      <c r="T18" s="28">
        <v>37.405145504341299</v>
      </c>
      <c r="U18" s="28">
        <v>37.364944892034401</v>
      </c>
      <c r="V18" s="28">
        <v>37.3261875707597</v>
      </c>
      <c r="W18" s="28">
        <v>37.287744858164302</v>
      </c>
      <c r="X18" s="28">
        <v>37.247261474402301</v>
      </c>
      <c r="Y18" s="28">
        <v>37.207290890014399</v>
      </c>
      <c r="Z18" s="28">
        <v>37.167477710731198</v>
      </c>
      <c r="AA18" s="28">
        <v>37.072305743993198</v>
      </c>
      <c r="AB18" s="28">
        <v>37.052368000646901</v>
      </c>
      <c r="AC18" s="28">
        <v>37.052367000646903</v>
      </c>
      <c r="AD18" s="56">
        <v>36.9433970588249</v>
      </c>
      <c r="AE18" s="33">
        <v>37.429504182161402</v>
      </c>
      <c r="AF18" s="33">
        <v>37.436962935101299</v>
      </c>
      <c r="AG18" s="33">
        <v>37.482138474480799</v>
      </c>
      <c r="AH18" s="33">
        <v>37.509905097901999</v>
      </c>
      <c r="AI18" s="33">
        <v>37.474539297067203</v>
      </c>
      <c r="AJ18" s="33">
        <v>37.473050074098097</v>
      </c>
      <c r="AK18" s="33">
        <v>37.3666259660463</v>
      </c>
      <c r="AL18" s="33">
        <v>37.347787889896999</v>
      </c>
      <c r="AM18" s="33">
        <v>37.264776310012898</v>
      </c>
      <c r="AN18" s="33">
        <v>37.264775310012901</v>
      </c>
      <c r="AO18" s="33">
        <v>37.264774310012903</v>
      </c>
      <c r="AP18" s="33">
        <v>37.264773310012899</v>
      </c>
      <c r="AQ18" s="33">
        <v>37.097360191735497</v>
      </c>
      <c r="AR18" s="33">
        <v>36.937809626638</v>
      </c>
      <c r="AS18" s="33">
        <v>36.842783530837202</v>
      </c>
      <c r="AT18" s="33">
        <v>36.754698064124703</v>
      </c>
      <c r="AU18" s="33">
        <v>36.703408527788199</v>
      </c>
      <c r="AV18" s="33">
        <v>36.548061905959997</v>
      </c>
      <c r="AW18" s="33">
        <v>36.413248544161398</v>
      </c>
      <c r="AX18" s="33">
        <v>36.255370864721399</v>
      </c>
      <c r="AY18" s="33">
        <v>36.255369864721402</v>
      </c>
      <c r="AZ18" s="33">
        <v>36.235963442477697</v>
      </c>
      <c r="BA18" s="33">
        <v>36.157720631611397</v>
      </c>
      <c r="BB18" s="33">
        <v>36.1577196316114</v>
      </c>
      <c r="BC18" s="33">
        <v>36.157718631611402</v>
      </c>
    </row>
    <row r="19" spans="1:55" x14ac:dyDescent="0.3">
      <c r="A19">
        <v>15</v>
      </c>
      <c r="B19" s="35">
        <v>36.4500231325774</v>
      </c>
      <c r="C19" s="32">
        <v>15</v>
      </c>
      <c r="D19" s="28">
        <v>37.747027805852603</v>
      </c>
      <c r="E19" s="28">
        <v>37.884296006386997</v>
      </c>
      <c r="F19" s="28">
        <v>38.053195751306497</v>
      </c>
      <c r="G19" s="28">
        <v>38.059491526814398</v>
      </c>
      <c r="H19" s="28">
        <v>38.079068397846797</v>
      </c>
      <c r="I19" s="28">
        <v>38.079069397846801</v>
      </c>
      <c r="J19" s="28">
        <v>37.822843063393101</v>
      </c>
      <c r="K19" s="28">
        <v>37.805015628414097</v>
      </c>
      <c r="L19" s="28">
        <v>37.805014628414199</v>
      </c>
      <c r="M19" s="28">
        <v>37.736437758872803</v>
      </c>
      <c r="N19" s="28">
        <v>37.717439357460499</v>
      </c>
      <c r="O19" s="28">
        <v>37.717438357460502</v>
      </c>
      <c r="P19" s="28">
        <v>37.567570686188603</v>
      </c>
      <c r="Q19" s="28">
        <v>37.5095196794963</v>
      </c>
      <c r="R19" s="28">
        <v>37.4607648144667</v>
      </c>
      <c r="S19" s="28">
        <v>37.396841610403897</v>
      </c>
      <c r="T19" s="28">
        <v>37.396840610403899</v>
      </c>
      <c r="U19" s="28">
        <v>37.357720939839503</v>
      </c>
      <c r="V19" s="28">
        <v>37.3188957802803</v>
      </c>
      <c r="W19" s="28">
        <v>37.27729981929</v>
      </c>
      <c r="X19" s="28">
        <v>37.232882710828797</v>
      </c>
      <c r="Y19" s="28">
        <v>37.194489289621302</v>
      </c>
      <c r="Z19" s="28">
        <v>37.154903929617902</v>
      </c>
      <c r="AA19" s="28">
        <v>37.068095860994298</v>
      </c>
      <c r="AB19" s="28">
        <v>37.048531473667801</v>
      </c>
      <c r="AC19" s="28">
        <v>37.048530473667803</v>
      </c>
      <c r="AD19" s="56">
        <v>36.993979283677902</v>
      </c>
      <c r="AE19" s="33">
        <v>37.475761599480599</v>
      </c>
      <c r="AF19" s="33">
        <v>37.489252038286502</v>
      </c>
      <c r="AG19" s="33">
        <v>37.533684718570399</v>
      </c>
      <c r="AH19" s="33">
        <v>37.563356814809502</v>
      </c>
      <c r="AI19" s="33">
        <v>37.520216135901897</v>
      </c>
      <c r="AJ19" s="33">
        <v>37.516654780840298</v>
      </c>
      <c r="AK19" s="33">
        <v>37.409295536220696</v>
      </c>
      <c r="AL19" s="33">
        <v>37.3884167067677</v>
      </c>
      <c r="AM19" s="33">
        <v>37.310399684576197</v>
      </c>
      <c r="AN19" s="33">
        <v>37.310398684576199</v>
      </c>
      <c r="AO19" s="33">
        <v>37.310397684576202</v>
      </c>
      <c r="AP19" s="33">
        <v>37.310396684576297</v>
      </c>
      <c r="AQ19" s="33">
        <v>37.124002978173699</v>
      </c>
      <c r="AR19" s="33">
        <v>36.978387898437703</v>
      </c>
      <c r="AS19" s="33">
        <v>36.883157236650703</v>
      </c>
      <c r="AT19" s="33">
        <v>36.795079202363198</v>
      </c>
      <c r="AU19" s="33">
        <v>36.743679583950403</v>
      </c>
      <c r="AV19" s="33">
        <v>36.601808191479698</v>
      </c>
      <c r="AW19" s="33">
        <v>36.460885766683496</v>
      </c>
      <c r="AX19" s="33">
        <v>36.321171825538201</v>
      </c>
      <c r="AY19" s="33">
        <v>36.321170825538204</v>
      </c>
      <c r="AZ19" s="33">
        <v>36.302291063659602</v>
      </c>
      <c r="BA19" s="33">
        <v>36.221587632668303</v>
      </c>
      <c r="BB19" s="33">
        <v>36.221586632668298</v>
      </c>
      <c r="BC19" s="33">
        <v>36.221585632668301</v>
      </c>
    </row>
    <row r="20" spans="1:55" x14ac:dyDescent="0.3">
      <c r="A20">
        <v>16</v>
      </c>
      <c r="B20" s="35">
        <v>35.959872927855898</v>
      </c>
      <c r="C20" s="32">
        <v>16</v>
      </c>
      <c r="D20" s="28">
        <v>37.238201747006698</v>
      </c>
      <c r="E20" s="28">
        <v>37.337501078096601</v>
      </c>
      <c r="F20" s="28">
        <v>37.483303820135902</v>
      </c>
      <c r="G20" s="28">
        <v>37.483304820135899</v>
      </c>
      <c r="H20" s="28">
        <v>37.489133063020397</v>
      </c>
      <c r="I20" s="28">
        <v>37.397274473033001</v>
      </c>
      <c r="J20" s="28">
        <v>37.234186291240498</v>
      </c>
      <c r="K20" s="28">
        <v>37.2341852912405</v>
      </c>
      <c r="L20" s="28">
        <v>37.234184291240503</v>
      </c>
      <c r="M20" s="28">
        <v>37.222930599785201</v>
      </c>
      <c r="N20" s="28">
        <v>37.222929599785203</v>
      </c>
      <c r="O20" s="28">
        <v>37.222928599785199</v>
      </c>
      <c r="P20" s="28">
        <v>37.121984317561299</v>
      </c>
      <c r="Q20" s="28">
        <v>37.073693527894399</v>
      </c>
      <c r="R20" s="28">
        <v>37.029830686469801</v>
      </c>
      <c r="S20" s="28">
        <v>36.9730013757707</v>
      </c>
      <c r="T20" s="28">
        <v>36.973000375770702</v>
      </c>
      <c r="U20" s="28">
        <v>36.928305838095199</v>
      </c>
      <c r="V20" s="28">
        <v>36.889091666084099</v>
      </c>
      <c r="W20" s="28">
        <v>36.8507482824809</v>
      </c>
      <c r="X20" s="28">
        <v>36.809598825950097</v>
      </c>
      <c r="Y20" s="28">
        <v>36.7711032546704</v>
      </c>
      <c r="Z20" s="28">
        <v>36.724874523277499</v>
      </c>
      <c r="AA20" s="28">
        <v>36.635405419175498</v>
      </c>
      <c r="AB20" s="28">
        <v>36.6158757303606</v>
      </c>
      <c r="AC20" s="28">
        <v>36.615874730360602</v>
      </c>
      <c r="AD20" s="56">
        <v>36.996478469663998</v>
      </c>
      <c r="AE20" s="33">
        <v>37.496907617208898</v>
      </c>
      <c r="AF20" s="33">
        <v>37.510784360856803</v>
      </c>
      <c r="AG20" s="33">
        <v>37.560134594428497</v>
      </c>
      <c r="AH20" s="33">
        <v>37.5911304949108</v>
      </c>
      <c r="AI20" s="33">
        <v>37.554589840618597</v>
      </c>
      <c r="AJ20" s="33">
        <v>37.550687980824897</v>
      </c>
      <c r="AK20" s="33">
        <v>37.4371793028618</v>
      </c>
      <c r="AL20" s="33">
        <v>37.412200803640999</v>
      </c>
      <c r="AM20" s="33">
        <v>37.328387543390498</v>
      </c>
      <c r="AN20" s="33">
        <v>37.328386543390501</v>
      </c>
      <c r="AO20" s="33">
        <v>37.328385543390503</v>
      </c>
      <c r="AP20" s="33">
        <v>37.328384543390499</v>
      </c>
      <c r="AQ20" s="33">
        <v>37.151997958225202</v>
      </c>
      <c r="AR20" s="33">
        <v>37.005316666593899</v>
      </c>
      <c r="AS20" s="33">
        <v>36.906981858752097</v>
      </c>
      <c r="AT20" s="33">
        <v>36.820100267662298</v>
      </c>
      <c r="AU20" s="33">
        <v>36.771270587447603</v>
      </c>
      <c r="AV20" s="33">
        <v>36.625000943560501</v>
      </c>
      <c r="AW20" s="33">
        <v>36.488303389113803</v>
      </c>
      <c r="AX20" s="33">
        <v>36.353356951761398</v>
      </c>
      <c r="AY20" s="33">
        <v>36.353355951761401</v>
      </c>
      <c r="AZ20" s="33">
        <v>36.334250362747099</v>
      </c>
      <c r="BA20" s="33">
        <v>36.256504341222801</v>
      </c>
      <c r="BB20" s="33">
        <v>36.256503341222803</v>
      </c>
      <c r="BC20" s="33">
        <v>36.256502341222799</v>
      </c>
    </row>
    <row r="21" spans="1:55" x14ac:dyDescent="0.3">
      <c r="A21">
        <v>17</v>
      </c>
      <c r="B21" s="35">
        <v>36.772876200785497</v>
      </c>
      <c r="C21" s="32">
        <v>17</v>
      </c>
      <c r="D21" s="28">
        <v>38.022540064339097</v>
      </c>
      <c r="E21" s="28">
        <v>38.156053703264902</v>
      </c>
      <c r="F21" s="28">
        <v>38.3366129176516</v>
      </c>
      <c r="G21" s="28">
        <v>38.351633884273497</v>
      </c>
      <c r="H21" s="28">
        <v>38.374285574169498</v>
      </c>
      <c r="I21" s="28">
        <v>38.282495804339398</v>
      </c>
      <c r="J21" s="28">
        <v>38.092115260595499</v>
      </c>
      <c r="K21" s="28">
        <v>38.0636071082169</v>
      </c>
      <c r="L21" s="28">
        <v>38.063606108216902</v>
      </c>
      <c r="M21" s="28">
        <v>37.977267632362697</v>
      </c>
      <c r="N21" s="28">
        <v>37.9506125410078</v>
      </c>
      <c r="O21" s="28">
        <v>37.947870507709503</v>
      </c>
      <c r="P21" s="28">
        <v>37.7903571207856</v>
      </c>
      <c r="Q21" s="28">
        <v>37.726203745288103</v>
      </c>
      <c r="R21" s="28">
        <v>37.674719453163</v>
      </c>
      <c r="S21" s="28">
        <v>37.611356459080397</v>
      </c>
      <c r="T21" s="28">
        <v>37.6113554590804</v>
      </c>
      <c r="U21" s="28">
        <v>37.573214204675303</v>
      </c>
      <c r="V21" s="28">
        <v>37.531811107630503</v>
      </c>
      <c r="W21" s="28">
        <v>37.491178250733498</v>
      </c>
      <c r="X21" s="28">
        <v>37.4520784647789</v>
      </c>
      <c r="Y21" s="28">
        <v>37.411172094766101</v>
      </c>
      <c r="Z21" s="28">
        <v>37.372789840425099</v>
      </c>
      <c r="AA21" s="28">
        <v>37.282571709599701</v>
      </c>
      <c r="AB21" s="28">
        <v>37.261683194411503</v>
      </c>
      <c r="AC21" s="28">
        <v>37.261682194411499</v>
      </c>
      <c r="AD21" s="56">
        <v>37.6816379195186</v>
      </c>
      <c r="AE21" s="33">
        <v>38.207462973797803</v>
      </c>
      <c r="AF21" s="33">
        <v>38.2534124791528</v>
      </c>
      <c r="AG21" s="33">
        <v>38.320264709361098</v>
      </c>
      <c r="AH21" s="33">
        <v>38.357832487722298</v>
      </c>
      <c r="AI21" s="33">
        <v>38.313169658301902</v>
      </c>
      <c r="AJ21" s="33">
        <v>38.285935681126197</v>
      </c>
      <c r="AK21" s="33">
        <v>38.143040488050303</v>
      </c>
      <c r="AL21" s="33">
        <v>38.084460352495299</v>
      </c>
      <c r="AM21" s="33">
        <v>37.969397675655202</v>
      </c>
      <c r="AN21" s="33">
        <v>37.969396675655197</v>
      </c>
      <c r="AO21" s="33">
        <v>37.9693956756552</v>
      </c>
      <c r="AP21" s="33">
        <v>37.920379987290403</v>
      </c>
      <c r="AQ21" s="33">
        <v>37.732314708154</v>
      </c>
      <c r="AR21" s="33">
        <v>37.560147586248199</v>
      </c>
      <c r="AS21" s="33">
        <v>37.458316809023898</v>
      </c>
      <c r="AT21" s="33">
        <v>37.371050932023003</v>
      </c>
      <c r="AU21" s="33">
        <v>37.321941609279797</v>
      </c>
      <c r="AV21" s="33">
        <v>37.166117874753198</v>
      </c>
      <c r="AW21" s="33">
        <v>37.028457831509897</v>
      </c>
      <c r="AX21" s="33">
        <v>36.888392442457103</v>
      </c>
      <c r="AY21" s="33">
        <v>36.888391442457099</v>
      </c>
      <c r="AZ21" s="33">
        <v>36.869487961631599</v>
      </c>
      <c r="BA21" s="33">
        <v>36.791842136917502</v>
      </c>
      <c r="BB21" s="33">
        <v>36.791841136917498</v>
      </c>
      <c r="BC21" s="33">
        <v>36.7918401369175</v>
      </c>
    </row>
    <row r="22" spans="1:55" x14ac:dyDescent="0.3">
      <c r="A22">
        <v>18</v>
      </c>
      <c r="B22" s="35">
        <v>36.598478233592402</v>
      </c>
      <c r="C22" s="32">
        <v>18</v>
      </c>
      <c r="D22" s="28">
        <v>37.823617107404601</v>
      </c>
      <c r="E22" s="28">
        <v>37.951629309423303</v>
      </c>
      <c r="F22" s="28">
        <v>38.123649765873701</v>
      </c>
      <c r="G22" s="28">
        <v>38.1319034954928</v>
      </c>
      <c r="H22" s="28">
        <v>38.152155282817603</v>
      </c>
      <c r="I22" s="28">
        <v>38.072865302255003</v>
      </c>
      <c r="J22" s="28">
        <v>37.882240492315603</v>
      </c>
      <c r="K22" s="28">
        <v>37.863676149242004</v>
      </c>
      <c r="L22" s="28">
        <v>37.863675149241999</v>
      </c>
      <c r="M22" s="28">
        <v>37.795412728876798</v>
      </c>
      <c r="N22" s="28">
        <v>37.7768002705238</v>
      </c>
      <c r="O22" s="28">
        <v>37.776799270523803</v>
      </c>
      <c r="P22" s="28">
        <v>37.640058645989598</v>
      </c>
      <c r="Q22" s="28">
        <v>37.577049271078799</v>
      </c>
      <c r="R22" s="28">
        <v>37.526768156284803</v>
      </c>
      <c r="S22" s="28">
        <v>37.465526759294796</v>
      </c>
      <c r="T22" s="28">
        <v>37.465525759294799</v>
      </c>
      <c r="U22" s="28">
        <v>37.427257556265303</v>
      </c>
      <c r="V22" s="28">
        <v>37.387872128332297</v>
      </c>
      <c r="W22" s="28">
        <v>37.347444067166201</v>
      </c>
      <c r="X22" s="28">
        <v>37.308010654927102</v>
      </c>
      <c r="Y22" s="28">
        <v>37.2695644868163</v>
      </c>
      <c r="Z22" s="28">
        <v>37.230213912736801</v>
      </c>
      <c r="AA22" s="28">
        <v>37.1400482873523</v>
      </c>
      <c r="AB22" s="28">
        <v>37.1206033380113</v>
      </c>
      <c r="AC22" s="28">
        <v>37.120602338011302</v>
      </c>
      <c r="AD22" s="56">
        <v>37.676670006464398</v>
      </c>
      <c r="AE22" s="33">
        <v>38.223089977816301</v>
      </c>
      <c r="AF22" s="33">
        <v>38.269175209025903</v>
      </c>
      <c r="AG22" s="33">
        <v>38.344581594051597</v>
      </c>
      <c r="AH22" s="33">
        <v>38.385007078364197</v>
      </c>
      <c r="AI22" s="33">
        <v>38.338830492603698</v>
      </c>
      <c r="AJ22" s="33">
        <v>38.310833032016902</v>
      </c>
      <c r="AK22" s="33">
        <v>38.159670602797704</v>
      </c>
      <c r="AL22" s="33">
        <v>38.101466920169401</v>
      </c>
      <c r="AM22" s="33">
        <v>37.983210023781503</v>
      </c>
      <c r="AN22" s="33">
        <v>37.983209023781498</v>
      </c>
      <c r="AO22" s="33">
        <v>37.983208023781501</v>
      </c>
      <c r="AP22" s="33">
        <v>37.928211461915502</v>
      </c>
      <c r="AQ22" s="33">
        <v>37.738914394368201</v>
      </c>
      <c r="AR22" s="33">
        <v>37.591360411599602</v>
      </c>
      <c r="AS22" s="33">
        <v>37.489490293857102</v>
      </c>
      <c r="AT22" s="33">
        <v>37.398166945611003</v>
      </c>
      <c r="AU22" s="33">
        <v>37.349504101192899</v>
      </c>
      <c r="AV22" s="33">
        <v>37.197206557492599</v>
      </c>
      <c r="AW22" s="33">
        <v>37.046902041261099</v>
      </c>
      <c r="AX22" s="33">
        <v>36.914061319916399</v>
      </c>
      <c r="AY22" s="33">
        <v>36.914060319916402</v>
      </c>
      <c r="AZ22" s="33">
        <v>36.894402946491098</v>
      </c>
      <c r="BA22" s="33">
        <v>36.813736942362297</v>
      </c>
      <c r="BB22" s="33">
        <v>36.8137359423623</v>
      </c>
      <c r="BC22" s="33">
        <v>36.813734942362302</v>
      </c>
    </row>
    <row r="23" spans="1:55" x14ac:dyDescent="0.3">
      <c r="A23">
        <v>19</v>
      </c>
      <c r="B23" s="35">
        <v>36.659450397289199</v>
      </c>
      <c r="C23" s="32">
        <v>19</v>
      </c>
      <c r="D23" s="28">
        <v>37.941756986641799</v>
      </c>
      <c r="E23" s="28">
        <v>38.071769468995697</v>
      </c>
      <c r="F23" s="28">
        <v>38.251103828788096</v>
      </c>
      <c r="G23" s="28">
        <v>38.265167268543799</v>
      </c>
      <c r="H23" s="28">
        <v>38.287223603206201</v>
      </c>
      <c r="I23" s="28">
        <v>38.208597231740598</v>
      </c>
      <c r="J23" s="28">
        <v>38.023357883321196</v>
      </c>
      <c r="K23" s="28">
        <v>37.999093920780197</v>
      </c>
      <c r="L23" s="28">
        <v>37.9990929207802</v>
      </c>
      <c r="M23" s="28">
        <v>37.919025267829397</v>
      </c>
      <c r="N23" s="28">
        <v>37.895006639831799</v>
      </c>
      <c r="O23" s="28">
        <v>37.894287905978302</v>
      </c>
      <c r="P23" s="28">
        <v>37.751832447473603</v>
      </c>
      <c r="Q23" s="28">
        <v>37.6899760416552</v>
      </c>
      <c r="R23" s="28">
        <v>37.640541201324602</v>
      </c>
      <c r="S23" s="28">
        <v>37.581682807016598</v>
      </c>
      <c r="T23" s="28">
        <v>37.581681807016601</v>
      </c>
      <c r="U23" s="28">
        <v>37.540462642559397</v>
      </c>
      <c r="V23" s="28">
        <v>37.501462845751497</v>
      </c>
      <c r="W23" s="28">
        <v>37.462475447617699</v>
      </c>
      <c r="X23" s="28">
        <v>37.422407495597</v>
      </c>
      <c r="Y23" s="28">
        <v>37.383188285986101</v>
      </c>
      <c r="Z23" s="28">
        <v>37.343686794192401</v>
      </c>
      <c r="AA23" s="28">
        <v>37.256159825442197</v>
      </c>
      <c r="AB23" s="28">
        <v>37.236823108602202</v>
      </c>
      <c r="AC23" s="28">
        <v>37.236822108602198</v>
      </c>
      <c r="AD23" s="56">
        <v>37.369748119213597</v>
      </c>
      <c r="AE23" s="33">
        <v>37.8752189550423</v>
      </c>
      <c r="AF23" s="33">
        <v>37.904898489250002</v>
      </c>
      <c r="AG23" s="33">
        <v>37.969669025597703</v>
      </c>
      <c r="AH23" s="33">
        <v>38.001561009311303</v>
      </c>
      <c r="AI23" s="33">
        <v>37.958424379334801</v>
      </c>
      <c r="AJ23" s="33">
        <v>37.941974804427403</v>
      </c>
      <c r="AK23" s="33">
        <v>37.815497205674802</v>
      </c>
      <c r="AL23" s="33">
        <v>37.773553927094802</v>
      </c>
      <c r="AM23" s="33">
        <v>37.669613083401998</v>
      </c>
      <c r="AN23" s="33">
        <v>37.669612083402001</v>
      </c>
      <c r="AO23" s="33">
        <v>37.669611083402003</v>
      </c>
      <c r="AP23" s="33">
        <v>37.6489168315711</v>
      </c>
      <c r="AQ23" s="33">
        <v>37.465105030762103</v>
      </c>
      <c r="AR23" s="33">
        <v>37.319763779129097</v>
      </c>
      <c r="AS23" s="33">
        <v>37.221778312307002</v>
      </c>
      <c r="AT23" s="33">
        <v>37.131946224208697</v>
      </c>
      <c r="AU23" s="33">
        <v>37.082726611254699</v>
      </c>
      <c r="AV23" s="33">
        <v>36.934067407425097</v>
      </c>
      <c r="AW23" s="33">
        <v>36.797574129907403</v>
      </c>
      <c r="AX23" s="33">
        <v>36.656965584431703</v>
      </c>
      <c r="AY23" s="33">
        <v>36.656964584431698</v>
      </c>
      <c r="AZ23" s="33">
        <v>36.637844926834497</v>
      </c>
      <c r="BA23" s="33">
        <v>36.559110059812397</v>
      </c>
      <c r="BB23" s="33">
        <v>36.5591090598124</v>
      </c>
      <c r="BC23" s="33">
        <v>36.559108059812402</v>
      </c>
    </row>
    <row r="24" spans="1:55" x14ac:dyDescent="0.3">
      <c r="A24">
        <v>20</v>
      </c>
      <c r="B24" s="35">
        <v>35.930199269491602</v>
      </c>
      <c r="C24" s="32">
        <v>20</v>
      </c>
      <c r="D24" s="28">
        <v>37.2350255924107</v>
      </c>
      <c r="E24" s="28">
        <v>37.3382703657836</v>
      </c>
      <c r="F24" s="28">
        <v>37.494728344863702</v>
      </c>
      <c r="G24" s="28">
        <v>37.4947293448637</v>
      </c>
      <c r="H24" s="28">
        <v>37.499299739957102</v>
      </c>
      <c r="I24" s="28">
        <v>37.430384135802797</v>
      </c>
      <c r="J24" s="28">
        <v>37.238479331203202</v>
      </c>
      <c r="K24" s="28">
        <v>37.238478331203197</v>
      </c>
      <c r="L24" s="28">
        <v>37.2384773312032</v>
      </c>
      <c r="M24" s="28">
        <v>37.238162892992797</v>
      </c>
      <c r="N24" s="28">
        <v>37.2381618929928</v>
      </c>
      <c r="O24" s="28">
        <v>37.238160892992802</v>
      </c>
      <c r="P24" s="28">
        <v>37.138742654292102</v>
      </c>
      <c r="Q24" s="28">
        <v>37.080197865502598</v>
      </c>
      <c r="R24" s="28">
        <v>37.034884513915799</v>
      </c>
      <c r="S24" s="28">
        <v>36.977292551196797</v>
      </c>
      <c r="T24" s="28">
        <v>36.977291551196899</v>
      </c>
      <c r="U24" s="28">
        <v>36.940498426032498</v>
      </c>
      <c r="V24" s="28">
        <v>36.903310554850698</v>
      </c>
      <c r="W24" s="28">
        <v>36.864368140823501</v>
      </c>
      <c r="X24" s="28">
        <v>36.823916423777199</v>
      </c>
      <c r="Y24" s="28">
        <v>36.780801833484396</v>
      </c>
      <c r="Z24" s="28">
        <v>36.7420268934505</v>
      </c>
      <c r="AA24" s="28">
        <v>36.653555670692803</v>
      </c>
      <c r="AB24" s="28">
        <v>36.632971492749597</v>
      </c>
      <c r="AC24" s="28">
        <v>36.6329704927496</v>
      </c>
      <c r="AD24" s="56">
        <v>37.209409996855101</v>
      </c>
      <c r="AE24" s="33">
        <v>37.700482713772502</v>
      </c>
      <c r="AF24" s="33">
        <v>37.722637750811003</v>
      </c>
      <c r="AG24" s="33">
        <v>37.774088555404397</v>
      </c>
      <c r="AH24" s="33">
        <v>37.804003913863497</v>
      </c>
      <c r="AI24" s="33">
        <v>37.763370038396303</v>
      </c>
      <c r="AJ24" s="33">
        <v>37.752989854267398</v>
      </c>
      <c r="AK24" s="33">
        <v>37.635901853678199</v>
      </c>
      <c r="AL24" s="33">
        <v>37.603916618029203</v>
      </c>
      <c r="AM24" s="33">
        <v>37.507609886244602</v>
      </c>
      <c r="AN24" s="33">
        <v>37.507608886244597</v>
      </c>
      <c r="AO24" s="33">
        <v>37.5076078862446</v>
      </c>
      <c r="AP24" s="33">
        <v>37.503480117417901</v>
      </c>
      <c r="AQ24" s="33">
        <v>37.315959730076301</v>
      </c>
      <c r="AR24" s="33">
        <v>37.165979082230898</v>
      </c>
      <c r="AS24" s="33">
        <v>37.0637412913959</v>
      </c>
      <c r="AT24" s="33">
        <v>36.977276524917599</v>
      </c>
      <c r="AU24" s="33">
        <v>36.926790748326397</v>
      </c>
      <c r="AV24" s="33">
        <v>36.781250800444298</v>
      </c>
      <c r="AW24" s="33">
        <v>36.640837248174002</v>
      </c>
      <c r="AX24" s="33">
        <v>36.496598894829098</v>
      </c>
      <c r="AY24" s="33">
        <v>36.496597894829101</v>
      </c>
      <c r="AZ24" s="33">
        <v>36.4774556958644</v>
      </c>
      <c r="BA24" s="33">
        <v>36.399400392709303</v>
      </c>
      <c r="BB24" s="33">
        <v>36.399399392709299</v>
      </c>
      <c r="BC24" s="33">
        <v>36.399398392709301</v>
      </c>
    </row>
    <row r="25" spans="1:55" x14ac:dyDescent="0.3">
      <c r="A25">
        <v>21</v>
      </c>
      <c r="B25" s="35">
        <v>37.216714730903099</v>
      </c>
      <c r="C25" s="32">
        <v>21</v>
      </c>
      <c r="D25" s="28">
        <v>38.388250686898402</v>
      </c>
      <c r="E25" s="28">
        <v>38.538428381512901</v>
      </c>
      <c r="F25" s="28">
        <v>38.750687695425803</v>
      </c>
      <c r="G25" s="28">
        <v>38.777001543643301</v>
      </c>
      <c r="H25" s="28">
        <v>38.804042982981599</v>
      </c>
      <c r="I25" s="28">
        <v>38.710543408652299</v>
      </c>
      <c r="J25" s="28">
        <v>38.478440799473297</v>
      </c>
      <c r="K25" s="28">
        <v>38.436161400335401</v>
      </c>
      <c r="L25" s="28">
        <v>38.436160400335403</v>
      </c>
      <c r="M25" s="28">
        <v>38.312521698618497</v>
      </c>
      <c r="N25" s="28">
        <v>38.270756552557998</v>
      </c>
      <c r="O25" s="28">
        <v>38.256365626118701</v>
      </c>
      <c r="P25" s="28">
        <v>38.089330241825401</v>
      </c>
      <c r="Q25" s="28">
        <v>38.019043148794999</v>
      </c>
      <c r="R25" s="28">
        <v>37.964934176495802</v>
      </c>
      <c r="S25" s="28">
        <v>37.903622472312897</v>
      </c>
      <c r="T25" s="28">
        <v>37.903621472312899</v>
      </c>
      <c r="U25" s="28">
        <v>37.852264520632801</v>
      </c>
      <c r="V25" s="28">
        <v>37.809988633593498</v>
      </c>
      <c r="W25" s="28">
        <v>37.771525361891399</v>
      </c>
      <c r="X25" s="28">
        <v>37.731156590973299</v>
      </c>
      <c r="Y25" s="28">
        <v>37.688949243187402</v>
      </c>
      <c r="Z25" s="28">
        <v>37.650234943995002</v>
      </c>
      <c r="AA25" s="28">
        <v>37.561488697694401</v>
      </c>
      <c r="AB25" s="28">
        <v>37.542108875186699</v>
      </c>
      <c r="AC25" s="28">
        <v>37.542107875186701</v>
      </c>
      <c r="AD25" s="56">
        <v>37.300542627944097</v>
      </c>
      <c r="AE25" s="33">
        <v>37.790354975196202</v>
      </c>
      <c r="AF25" s="33">
        <v>37.816091182053803</v>
      </c>
      <c r="AG25" s="33">
        <v>37.872324895036002</v>
      </c>
      <c r="AH25" s="33">
        <v>37.906557616753702</v>
      </c>
      <c r="AI25" s="33">
        <v>37.8636604979163</v>
      </c>
      <c r="AJ25" s="33">
        <v>37.850344682063501</v>
      </c>
      <c r="AK25" s="33">
        <v>37.7288308233164</v>
      </c>
      <c r="AL25" s="33">
        <v>37.693010736788899</v>
      </c>
      <c r="AM25" s="33">
        <v>37.5971401005229</v>
      </c>
      <c r="AN25" s="33">
        <v>37.597139100522902</v>
      </c>
      <c r="AO25" s="33">
        <v>37.597138100522997</v>
      </c>
      <c r="AP25" s="33">
        <v>37.581914491986197</v>
      </c>
      <c r="AQ25" s="33">
        <v>37.395727635836501</v>
      </c>
      <c r="AR25" s="33">
        <v>37.250775600465303</v>
      </c>
      <c r="AS25" s="33">
        <v>37.153230724853202</v>
      </c>
      <c r="AT25" s="33">
        <v>37.060147250737202</v>
      </c>
      <c r="AU25" s="33">
        <v>37.010479288277502</v>
      </c>
      <c r="AV25" s="33">
        <v>36.863410573405197</v>
      </c>
      <c r="AW25" s="33">
        <v>36.727046852482601</v>
      </c>
      <c r="AX25" s="33">
        <v>36.591582972847498</v>
      </c>
      <c r="AY25" s="33">
        <v>36.5915819728475</v>
      </c>
      <c r="AZ25" s="33">
        <v>36.572184980148798</v>
      </c>
      <c r="BA25" s="33">
        <v>36.493429786714998</v>
      </c>
      <c r="BB25" s="33">
        <v>36.493428786715</v>
      </c>
      <c r="BC25" s="33">
        <v>36.493427786715003</v>
      </c>
    </row>
    <row r="26" spans="1:55" x14ac:dyDescent="0.3">
      <c r="A26" s="27"/>
      <c r="C26" s="37" t="s">
        <v>38</v>
      </c>
      <c r="D26" s="38">
        <f t="shared" ref="D26:AC26" si="0">AVERAGE(D5:D25)-AVERAGE($B5:$B25)</f>
        <v>1.269999999999996</v>
      </c>
      <c r="E26" s="38">
        <f t="shared" si="0"/>
        <v>1.4000000000000057</v>
      </c>
      <c r="F26" s="38">
        <f t="shared" si="0"/>
        <v>1.5800000000000196</v>
      </c>
      <c r="G26" s="38">
        <f t="shared" si="0"/>
        <v>1.5901855362521502</v>
      </c>
      <c r="H26" s="38">
        <f t="shared" si="0"/>
        <v>1.6100000000000065</v>
      </c>
      <c r="I26" s="38">
        <f t="shared" si="0"/>
        <v>1.5563622074453889</v>
      </c>
      <c r="J26" s="38">
        <f t="shared" si="0"/>
        <v>1.3400000000000034</v>
      </c>
      <c r="K26" s="38">
        <f t="shared" si="0"/>
        <v>1.3198456950736954</v>
      </c>
      <c r="L26" s="38">
        <f t="shared" si="0"/>
        <v>1.3198446950737051</v>
      </c>
      <c r="M26" s="38">
        <f t="shared" si="0"/>
        <v>1.2499913228733206</v>
      </c>
      <c r="N26" s="38">
        <f t="shared" si="0"/>
        <v>1.2298547643017912</v>
      </c>
      <c r="O26" s="38">
        <f t="shared" si="0"/>
        <v>1.2271528411936004</v>
      </c>
      <c r="P26" s="38">
        <f t="shared" si="0"/>
        <v>1.0899999999999963</v>
      </c>
      <c r="Q26" s="38">
        <f t="shared" si="0"/>
        <v>1.029999999999994</v>
      </c>
      <c r="R26" s="38">
        <f t="shared" si="0"/>
        <v>0.98000000000001819</v>
      </c>
      <c r="S26" s="38">
        <f t="shared" si="0"/>
        <v>0.92000000000000881</v>
      </c>
      <c r="T26" s="38">
        <f t="shared" si="0"/>
        <v>0.91999900000001134</v>
      </c>
      <c r="U26" s="38">
        <f t="shared" si="0"/>
        <v>0.88000000000001677</v>
      </c>
      <c r="V26" s="38">
        <f t="shared" si="0"/>
        <v>0.84000000000001052</v>
      </c>
      <c r="W26" s="38">
        <f t="shared" si="0"/>
        <v>0.79999999999999716</v>
      </c>
      <c r="X26" s="38">
        <f t="shared" si="0"/>
        <v>0.76000000000000512</v>
      </c>
      <c r="Y26" s="38">
        <f t="shared" si="0"/>
        <v>0.71999999999999176</v>
      </c>
      <c r="Z26" s="38">
        <f t="shared" si="0"/>
        <v>0.68000000000002103</v>
      </c>
      <c r="AA26" s="38">
        <f t="shared" si="0"/>
        <v>0.58999999999999631</v>
      </c>
      <c r="AB26" s="38">
        <f t="shared" si="0"/>
        <v>0.57000000000000739</v>
      </c>
      <c r="AC26" s="38">
        <f t="shared" si="0"/>
        <v>0.56999900000000991</v>
      </c>
      <c r="AD26" s="38"/>
      <c r="AE26" s="38">
        <f>AVERAGE(AE5:AE25)-AVERAGE($AD$5:$AD$25)</f>
        <v>0.5043814739917849</v>
      </c>
      <c r="AF26" s="38">
        <f t="shared" ref="AF26:BC26" si="1">AVERAGE(AF5:AF25)-AVERAGE($AD$5:$AD$25)</f>
        <v>0.52389301606226724</v>
      </c>
      <c r="AG26" s="38">
        <f t="shared" si="1"/>
        <v>0.57346335462347042</v>
      </c>
      <c r="AH26" s="38">
        <f t="shared" si="1"/>
        <v>0.60341667000001564</v>
      </c>
      <c r="AI26" s="38">
        <f t="shared" si="1"/>
        <v>0.56341666999999518</v>
      </c>
      <c r="AJ26" s="38">
        <f t="shared" si="1"/>
        <v>0.55327650166768905</v>
      </c>
      <c r="AK26" s="38">
        <f t="shared" si="1"/>
        <v>0.43341667000000683</v>
      </c>
      <c r="AL26" s="38">
        <f t="shared" si="1"/>
        <v>0.40339962569904486</v>
      </c>
      <c r="AM26" s="38">
        <f t="shared" si="1"/>
        <v>0.31341666999999518</v>
      </c>
      <c r="AN26" s="38">
        <f t="shared" si="1"/>
        <v>0.3134156699999977</v>
      </c>
      <c r="AO26" s="38">
        <f t="shared" si="1"/>
        <v>0.31341467000000733</v>
      </c>
      <c r="AP26" s="38">
        <f t="shared" si="1"/>
        <v>0.3001298266213368</v>
      </c>
      <c r="AQ26" s="38">
        <f t="shared" si="1"/>
        <v>0.12341667000000456</v>
      </c>
      <c r="AR26" s="38">
        <f t="shared" si="1"/>
        <v>-2.6583329999994021E-2</v>
      </c>
      <c r="AS26" s="38">
        <f t="shared" si="1"/>
        <v>-0.12658332999998123</v>
      </c>
      <c r="AT26" s="38">
        <f t="shared" si="1"/>
        <v>-0.21658332999998464</v>
      </c>
      <c r="AU26" s="38">
        <f t="shared" si="1"/>
        <v>-0.26658332999998891</v>
      </c>
      <c r="AV26" s="38">
        <f t="shared" si="1"/>
        <v>-0.41658332999998038</v>
      </c>
      <c r="AW26" s="38">
        <f t="shared" si="1"/>
        <v>-0.55658332999998095</v>
      </c>
      <c r="AX26" s="38">
        <f t="shared" si="1"/>
        <v>-0.69658332999999573</v>
      </c>
      <c r="AY26" s="38">
        <f t="shared" si="1"/>
        <v>-0.69658433000000031</v>
      </c>
      <c r="AZ26" s="38">
        <f t="shared" si="1"/>
        <v>-0.71658332999999885</v>
      </c>
      <c r="BA26" s="38">
        <f t="shared" si="1"/>
        <v>-0.79658332999999715</v>
      </c>
      <c r="BB26" s="38">
        <f t="shared" si="1"/>
        <v>-0.79658432999999462</v>
      </c>
      <c r="BC26" s="38">
        <f t="shared" si="1"/>
        <v>-0.7965853299999921</v>
      </c>
    </row>
    <row r="27" spans="1:55" x14ac:dyDescent="0.3">
      <c r="A27" s="27"/>
      <c r="C27" s="40" t="s">
        <v>35</v>
      </c>
      <c r="D27" s="41">
        <f t="shared" ref="D27:AC27" si="2">AVERAGE(D5:D25)</f>
        <v>37.809999999999945</v>
      </c>
      <c r="E27" s="41">
        <f t="shared" si="2"/>
        <v>37.939999999999955</v>
      </c>
      <c r="F27" s="41">
        <f t="shared" si="2"/>
        <v>38.119999999999969</v>
      </c>
      <c r="G27" s="41">
        <f t="shared" si="2"/>
        <v>38.1301855362521</v>
      </c>
      <c r="H27" s="41">
        <f t="shared" si="2"/>
        <v>38.149999999999956</v>
      </c>
      <c r="I27" s="41">
        <f t="shared" si="2"/>
        <v>38.096362207445338</v>
      </c>
      <c r="J27" s="41">
        <f t="shared" si="2"/>
        <v>37.879999999999953</v>
      </c>
      <c r="K27" s="41">
        <f t="shared" si="2"/>
        <v>37.859845695073645</v>
      </c>
      <c r="L27" s="41">
        <f t="shared" si="2"/>
        <v>37.859844695073654</v>
      </c>
      <c r="M27" s="41">
        <f t="shared" si="2"/>
        <v>37.78999132287327</v>
      </c>
      <c r="N27" s="41">
        <f t="shared" si="2"/>
        <v>37.769854764301741</v>
      </c>
      <c r="O27" s="41">
        <f t="shared" si="2"/>
        <v>37.76715284119355</v>
      </c>
      <c r="P27" s="41">
        <f t="shared" si="2"/>
        <v>37.629999999999946</v>
      </c>
      <c r="Q27" s="41">
        <f t="shared" si="2"/>
        <v>37.569999999999943</v>
      </c>
      <c r="R27" s="41">
        <f t="shared" si="2"/>
        <v>37.519999999999968</v>
      </c>
      <c r="S27" s="41">
        <f t="shared" si="2"/>
        <v>37.459999999999958</v>
      </c>
      <c r="T27" s="41">
        <f t="shared" si="2"/>
        <v>37.459998999999961</v>
      </c>
      <c r="U27" s="41">
        <f t="shared" si="2"/>
        <v>37.419999999999966</v>
      </c>
      <c r="V27" s="41">
        <f t="shared" si="2"/>
        <v>37.37999999999996</v>
      </c>
      <c r="W27" s="41">
        <f t="shared" si="2"/>
        <v>37.339999999999947</v>
      </c>
      <c r="X27" s="41">
        <f t="shared" si="2"/>
        <v>37.299999999999955</v>
      </c>
      <c r="Y27" s="41">
        <f t="shared" si="2"/>
        <v>37.259999999999941</v>
      </c>
      <c r="Z27" s="41">
        <f t="shared" si="2"/>
        <v>37.21999999999997</v>
      </c>
      <c r="AA27" s="41">
        <f t="shared" si="2"/>
        <v>37.129999999999946</v>
      </c>
      <c r="AB27" s="41">
        <f t="shared" si="2"/>
        <v>37.109999999999957</v>
      </c>
      <c r="AC27" s="41">
        <f t="shared" si="2"/>
        <v>37.109998999999959</v>
      </c>
      <c r="AD27" s="57"/>
      <c r="AE27" s="41">
        <f t="shared" ref="AE27" si="3">AVERAGE(AE5:AE25)</f>
        <v>37.650964803991727</v>
      </c>
      <c r="AF27" s="46">
        <v>37.064838624523816</v>
      </c>
      <c r="AG27" s="46">
        <v>37.146792328523823</v>
      </c>
      <c r="AH27" s="46">
        <v>37.054708994523807</v>
      </c>
      <c r="AI27" s="46">
        <v>37.097607142523813</v>
      </c>
      <c r="AJ27" s="46">
        <v>36.925764550523837</v>
      </c>
      <c r="AK27" s="46">
        <v>36.941551587523811</v>
      </c>
      <c r="AL27" s="46">
        <v>36.802264550523816</v>
      </c>
      <c r="AM27" s="46">
        <v>36.934607142523816</v>
      </c>
      <c r="AN27" s="46">
        <v>36.855918994523805</v>
      </c>
      <c r="AO27" s="46">
        <v>36.839144179523814</v>
      </c>
      <c r="AP27" s="46">
        <v>36.610171957523811</v>
      </c>
      <c r="AQ27" s="46">
        <v>36.512199735523815</v>
      </c>
      <c r="AR27" s="46">
        <v>36.367208994523807</v>
      </c>
      <c r="AS27" s="46">
        <v>36.318681216523821</v>
      </c>
      <c r="AT27" s="46">
        <v>36.224838624523812</v>
      </c>
      <c r="AU27" s="46">
        <v>36.121644179523813</v>
      </c>
      <c r="AV27" s="46">
        <v>35.940557312046877</v>
      </c>
      <c r="AW27" s="46">
        <v>35.865584616366178</v>
      </c>
      <c r="AX27" s="46">
        <v>35.834572224268108</v>
      </c>
      <c r="AY27" s="46">
        <v>35.845894633479205</v>
      </c>
      <c r="AZ27" s="46">
        <v>35.845894633479205</v>
      </c>
      <c r="BA27" s="46">
        <v>35.845894633479205</v>
      </c>
      <c r="BB27" s="46">
        <v>35.845894633479205</v>
      </c>
      <c r="BC27" s="46">
        <v>35.845894633479205</v>
      </c>
    </row>
    <row r="28" spans="1:55" x14ac:dyDescent="0.3">
      <c r="A28" s="27"/>
      <c r="C28" s="42" t="s">
        <v>15</v>
      </c>
      <c r="D28" s="41">
        <f t="shared" ref="D28:AC28" si="4">STDEV(D5:D25)</f>
        <v>0.34211899341980567</v>
      </c>
      <c r="E28" s="41">
        <f t="shared" si="4"/>
        <v>0.35976236641034626</v>
      </c>
      <c r="F28" s="41">
        <f t="shared" si="4"/>
        <v>0.37535656897138803</v>
      </c>
      <c r="G28" s="41">
        <f t="shared" si="4"/>
        <v>0.3834248052871943</v>
      </c>
      <c r="H28" s="41">
        <f t="shared" si="4"/>
        <v>0.38999999999882295</v>
      </c>
      <c r="I28" s="41">
        <f t="shared" si="4"/>
        <v>0.39351823102730793</v>
      </c>
      <c r="J28" s="41">
        <f t="shared" si="4"/>
        <v>0.37535656897139974</v>
      </c>
      <c r="K28" s="41">
        <f t="shared" si="4"/>
        <v>0.3620340717941522</v>
      </c>
      <c r="L28" s="41">
        <f t="shared" si="4"/>
        <v>0.36203407179415226</v>
      </c>
      <c r="M28" s="41">
        <f t="shared" si="4"/>
        <v>0.32540450644185126</v>
      </c>
      <c r="N28" s="41">
        <f t="shared" si="4"/>
        <v>0.31256025202308607</v>
      </c>
      <c r="O28" s="41">
        <f t="shared" si="4"/>
        <v>0.30860794769932137</v>
      </c>
      <c r="P28" s="41">
        <f t="shared" si="4"/>
        <v>0.29118715315259169</v>
      </c>
      <c r="Q28" s="41">
        <f t="shared" si="4"/>
        <v>0.28609594150556239</v>
      </c>
      <c r="R28" s="41">
        <f t="shared" si="4"/>
        <v>0.28309272257152629</v>
      </c>
      <c r="S28" s="41">
        <f t="shared" si="4"/>
        <v>0.28146089869925422</v>
      </c>
      <c r="T28" s="41">
        <f t="shared" si="4"/>
        <v>0.28146089869924529</v>
      </c>
      <c r="U28" s="41">
        <f t="shared" si="4"/>
        <v>0.28026309662387727</v>
      </c>
      <c r="V28" s="41">
        <f t="shared" si="4"/>
        <v>0.28010030701537303</v>
      </c>
      <c r="W28" s="41">
        <f t="shared" si="4"/>
        <v>0.28003560625538093</v>
      </c>
      <c r="X28" s="41">
        <f t="shared" si="4"/>
        <v>0.28001176793464932</v>
      </c>
      <c r="Y28" s="41">
        <f t="shared" si="4"/>
        <v>0.28000362120498012</v>
      </c>
      <c r="Z28" s="41">
        <f t="shared" si="4"/>
        <v>0.2800010374919974</v>
      </c>
      <c r="AA28" s="41">
        <f t="shared" si="4"/>
        <v>0.28000027675447492</v>
      </c>
      <c r="AB28" s="41">
        <f t="shared" si="4"/>
        <v>0.28000006873539912</v>
      </c>
      <c r="AC28" s="41">
        <f t="shared" si="4"/>
        <v>0.28000006873539912</v>
      </c>
      <c r="AD28" s="57"/>
      <c r="AE28" s="41">
        <f t="shared" ref="AE28" si="5">STDEV(AE5:AE25)</f>
        <v>0.33294772562208902</v>
      </c>
      <c r="AF28" s="46">
        <v>0.34655489993643801</v>
      </c>
      <c r="AG28" s="46">
        <v>0.33768969660026776</v>
      </c>
      <c r="AH28" s="46">
        <v>0.32751428001964172</v>
      </c>
      <c r="AI28" s="46">
        <v>0.33813969178277781</v>
      </c>
      <c r="AJ28" s="46">
        <v>0.34953814306167913</v>
      </c>
      <c r="AK28" s="46">
        <v>0.34750066741626345</v>
      </c>
      <c r="AL28" s="46">
        <v>0.38268967841968843</v>
      </c>
      <c r="AM28" s="46">
        <v>0.39633840665874648</v>
      </c>
      <c r="AN28" s="46">
        <v>0.4075486269529971</v>
      </c>
      <c r="AO28" s="46">
        <v>0.40900361043545364</v>
      </c>
      <c r="AP28" s="46">
        <v>0.41892993249038579</v>
      </c>
      <c r="AQ28" s="46">
        <v>0.40334712698110164</v>
      </c>
      <c r="AR28" s="46">
        <v>0.41679417221982262</v>
      </c>
      <c r="AS28" s="46">
        <v>0.42044646646924827</v>
      </c>
      <c r="AT28" s="46">
        <v>0.40034049380941694</v>
      </c>
      <c r="AU28" s="46">
        <v>0.3941380801863818</v>
      </c>
      <c r="AV28" s="46">
        <v>0.38463512584251996</v>
      </c>
      <c r="AW28" s="46">
        <v>0.37130733695380086</v>
      </c>
      <c r="AX28" s="46">
        <v>0.35817468033679872</v>
      </c>
      <c r="AY28" s="46">
        <v>0.35886459552360117</v>
      </c>
      <c r="AZ28" s="46">
        <v>0.35886459552360117</v>
      </c>
      <c r="BA28" s="46">
        <v>0.35886459552360117</v>
      </c>
      <c r="BB28" s="46">
        <v>0.35886459552360117</v>
      </c>
      <c r="BC28" s="46">
        <v>0.35886459552360117</v>
      </c>
    </row>
    <row r="29" spans="1:55" x14ac:dyDescent="0.3">
      <c r="A29" s="27"/>
      <c r="B29" s="28"/>
      <c r="C29" s="37" t="s">
        <v>27</v>
      </c>
      <c r="D29" s="39">
        <f t="shared" ref="D29:AC29" si="6">MEDIAN(D5:D25)</f>
        <v>37.799943067944703</v>
      </c>
      <c r="E29" s="39">
        <f t="shared" si="6"/>
        <v>37.922895589300502</v>
      </c>
      <c r="F29" s="39">
        <f t="shared" si="6"/>
        <v>38.103864075621701</v>
      </c>
      <c r="G29" s="39">
        <f t="shared" si="6"/>
        <v>38.112285685578797</v>
      </c>
      <c r="H29" s="39">
        <f t="shared" si="6"/>
        <v>38.134673196457904</v>
      </c>
      <c r="I29" s="39">
        <f t="shared" si="6"/>
        <v>38.072865302255003</v>
      </c>
      <c r="J29" s="39">
        <f t="shared" si="6"/>
        <v>37.8655340083723</v>
      </c>
      <c r="K29" s="39">
        <f t="shared" si="6"/>
        <v>37.8474461290688</v>
      </c>
      <c r="L29" s="39">
        <f t="shared" si="6"/>
        <v>37.847445129068802</v>
      </c>
      <c r="M29" s="39">
        <f t="shared" si="6"/>
        <v>37.774667148604699</v>
      </c>
      <c r="N29" s="39">
        <f t="shared" si="6"/>
        <v>37.756031765682302</v>
      </c>
      <c r="O29" s="39">
        <f t="shared" si="6"/>
        <v>37.756030765682297</v>
      </c>
      <c r="P29" s="39">
        <f t="shared" si="6"/>
        <v>37.617060959212203</v>
      </c>
      <c r="Q29" s="39">
        <f t="shared" si="6"/>
        <v>37.555196281413401</v>
      </c>
      <c r="R29" s="39">
        <f t="shared" si="6"/>
        <v>37.505559813241</v>
      </c>
      <c r="S29" s="39">
        <f t="shared" si="6"/>
        <v>37.447384950523897</v>
      </c>
      <c r="T29" s="39">
        <f t="shared" si="6"/>
        <v>37.4473839505239</v>
      </c>
      <c r="U29" s="39">
        <f t="shared" si="6"/>
        <v>37.408344706437802</v>
      </c>
      <c r="V29" s="39">
        <f t="shared" si="6"/>
        <v>37.369518753608098</v>
      </c>
      <c r="W29" s="39">
        <f t="shared" si="6"/>
        <v>37.330565581411399</v>
      </c>
      <c r="X29" s="39">
        <f t="shared" si="6"/>
        <v>37.291325956590399</v>
      </c>
      <c r="Y29" s="39">
        <f t="shared" si="6"/>
        <v>37.252009354328102</v>
      </c>
      <c r="Z29" s="39">
        <f t="shared" si="6"/>
        <v>37.213604352480097</v>
      </c>
      <c r="AA29" s="39">
        <f t="shared" si="6"/>
        <v>37.126440439738403</v>
      </c>
      <c r="AB29" s="39">
        <f t="shared" si="6"/>
        <v>37.107191372613897</v>
      </c>
      <c r="AC29" s="39">
        <f t="shared" si="6"/>
        <v>37.1071903726139</v>
      </c>
      <c r="AD29" s="57"/>
      <c r="AE29" s="39">
        <f t="shared" ref="AE29" si="7">MEDIAN(AE5:AE25)</f>
        <v>37.584918410952298</v>
      </c>
      <c r="AF29" s="46">
        <v>37.003628676313532</v>
      </c>
      <c r="AG29" s="46">
        <v>37.088651999048437</v>
      </c>
      <c r="AH29" s="46">
        <v>36.960501338472767</v>
      </c>
      <c r="AI29" s="46">
        <v>37.049611272400668</v>
      </c>
      <c r="AJ29" s="46">
        <v>36.857825347535687</v>
      </c>
      <c r="AK29" s="46">
        <v>36.88943564714414</v>
      </c>
      <c r="AL29" s="46">
        <v>36.726854332336558</v>
      </c>
      <c r="AM29" s="46">
        <v>36.872796428041418</v>
      </c>
      <c r="AN29" s="46">
        <v>36.762837012348683</v>
      </c>
      <c r="AO29" s="46">
        <v>36.747850515913093</v>
      </c>
      <c r="AP29" s="46">
        <v>36.548799837684413</v>
      </c>
      <c r="AQ29" s="46">
        <v>36.488569686741499</v>
      </c>
      <c r="AR29" s="46">
        <v>36.289476517570527</v>
      </c>
      <c r="AS29" s="46">
        <v>36.258630781165309</v>
      </c>
      <c r="AT29" s="46">
        <v>36.206308711082187</v>
      </c>
      <c r="AU29" s="46">
        <v>36.112039914378137</v>
      </c>
      <c r="AV29" s="46">
        <v>35.883053909403337</v>
      </c>
      <c r="AW29" s="46">
        <v>35.792272641604249</v>
      </c>
      <c r="AX29" s="46">
        <v>35.71660170454718</v>
      </c>
      <c r="AY29" s="46">
        <v>35.766119738174787</v>
      </c>
      <c r="AZ29" s="46">
        <v>35.766119738174787</v>
      </c>
      <c r="BA29" s="46">
        <v>35.766119738174787</v>
      </c>
      <c r="BB29" s="46">
        <v>35.766119738174787</v>
      </c>
      <c r="BC29" s="46">
        <v>35.766119738174787</v>
      </c>
    </row>
    <row r="30" spans="1:55" x14ac:dyDescent="0.3">
      <c r="A30" s="27"/>
    </row>
    <row r="31" spans="1:55" x14ac:dyDescent="0.3">
      <c r="A31" s="27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</row>
    <row r="32" spans="1:55" x14ac:dyDescent="0.3">
      <c r="A32" s="27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</row>
    <row r="33" spans="1:55" x14ac:dyDescent="0.3">
      <c r="A33" s="27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</row>
    <row r="34" spans="1:55" ht="52.8" customHeight="1" x14ac:dyDescent="0.3">
      <c r="D34" s="77" t="s">
        <v>4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58"/>
      <c r="AE34" s="79" t="s">
        <v>5</v>
      </c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</row>
    <row r="35" spans="1:55" x14ac:dyDescent="0.3">
      <c r="C35" s="31" t="s">
        <v>37</v>
      </c>
      <c r="D35" s="34">
        <v>3.3333333333333992E-2</v>
      </c>
      <c r="E35" s="34">
        <v>3.8888888888888973E-2</v>
      </c>
      <c r="F35" s="34">
        <v>4.4444444444444953E-2</v>
      </c>
      <c r="G35" s="34">
        <v>4.9999999999999989E-2</v>
      </c>
      <c r="H35" s="34">
        <v>5.5555555555555969E-2</v>
      </c>
      <c r="I35" s="34">
        <v>6.1111111111111949E-2</v>
      </c>
      <c r="J35" s="34">
        <v>6.6666666666666985E-2</v>
      </c>
      <c r="K35" s="34">
        <v>7.2222222222222965E-2</v>
      </c>
      <c r="L35" s="34">
        <v>7.7777777777778001E-2</v>
      </c>
      <c r="M35" s="34">
        <v>8.3333333333333981E-2</v>
      </c>
      <c r="N35" s="34">
        <v>8.8888888888888962E-2</v>
      </c>
      <c r="O35" s="34">
        <v>9.4444444444444997E-2</v>
      </c>
      <c r="P35" s="34">
        <v>9.9999999999999978E-2</v>
      </c>
      <c r="Q35" s="34">
        <v>0.10555555555555596</v>
      </c>
      <c r="R35" s="34">
        <v>0.11111111111111199</v>
      </c>
      <c r="S35" s="34">
        <v>0.11666666666666697</v>
      </c>
      <c r="T35" s="34">
        <v>0.12222222222222295</v>
      </c>
      <c r="U35" s="34">
        <v>0.12777777777777799</v>
      </c>
      <c r="V35" s="34">
        <v>0.13333333333333397</v>
      </c>
      <c r="W35" s="34">
        <v>0.13888888888888895</v>
      </c>
      <c r="X35" s="34">
        <v>0.14444444444444499</v>
      </c>
      <c r="Y35" s="34">
        <v>0.14722222222222298</v>
      </c>
      <c r="Z35" s="34">
        <v>0.14999999999999997</v>
      </c>
      <c r="AA35" s="34">
        <v>0.15555555555555595</v>
      </c>
      <c r="AB35" s="34">
        <v>0.16111111111111293</v>
      </c>
      <c r="AC35" s="34">
        <v>0.16666666666666702</v>
      </c>
      <c r="AD35" s="59"/>
      <c r="AE35" s="36">
        <v>3.3333333333333992E-2</v>
      </c>
      <c r="AF35" s="36">
        <v>3.8888888888888973E-2</v>
      </c>
      <c r="AG35" s="36">
        <v>4.4444444444444953E-2</v>
      </c>
      <c r="AH35" s="36">
        <v>4.9999999999999989E-2</v>
      </c>
      <c r="AI35" s="36">
        <v>5.5555555555555969E-2</v>
      </c>
      <c r="AJ35" s="36">
        <v>6.1111111111111949E-2</v>
      </c>
      <c r="AK35" s="36">
        <v>6.6666666666666985E-2</v>
      </c>
      <c r="AL35" s="36">
        <v>7.2222222222222965E-2</v>
      </c>
      <c r="AM35" s="36">
        <v>7.7777777777778001E-2</v>
      </c>
      <c r="AN35" s="36">
        <v>8.3333333333333981E-2</v>
      </c>
      <c r="AO35" s="36">
        <v>8.8888888888888962E-2</v>
      </c>
      <c r="AP35" s="36">
        <v>9.4444444444444997E-2</v>
      </c>
      <c r="AQ35" s="36">
        <v>9.9999999999999978E-2</v>
      </c>
      <c r="AR35" s="36">
        <v>0.10555555555555596</v>
      </c>
      <c r="AS35" s="36">
        <v>0.11111111111111199</v>
      </c>
      <c r="AT35" s="36">
        <v>0.11666666666666697</v>
      </c>
      <c r="AU35" s="36">
        <v>0.12222222222222295</v>
      </c>
      <c r="AV35" s="36">
        <v>0.12777777777777799</v>
      </c>
      <c r="AW35" s="36">
        <v>0.13333333333333397</v>
      </c>
      <c r="AX35" s="36">
        <v>0.13888888888888895</v>
      </c>
      <c r="AY35" s="36">
        <v>0.14444444444444499</v>
      </c>
      <c r="AZ35" s="36">
        <v>0.149999999999989</v>
      </c>
      <c r="BA35" s="36">
        <v>0.15555555555554401</v>
      </c>
      <c r="BB35" s="36">
        <v>0.16111111111109899</v>
      </c>
      <c r="BC35" s="36">
        <v>0.166666666666654</v>
      </c>
    </row>
    <row r="36" spans="1:55" x14ac:dyDescent="0.3">
      <c r="A36" s="27" t="s">
        <v>37</v>
      </c>
      <c r="B36" t="s">
        <v>36</v>
      </c>
      <c r="C36" s="32">
        <v>1</v>
      </c>
      <c r="D36" s="33">
        <f t="shared" ref="D36:AC36" si="8">D5-$B$5</f>
        <v>1.2392942609051047</v>
      </c>
      <c r="E36" s="33">
        <f t="shared" si="8"/>
        <v>1.4292361903468063</v>
      </c>
      <c r="F36" s="33">
        <f t="shared" si="8"/>
        <v>1.6444769462431026</v>
      </c>
      <c r="G36" s="33">
        <f t="shared" si="8"/>
        <v>1.6749450449998022</v>
      </c>
      <c r="H36" s="33">
        <f t="shared" si="8"/>
        <v>1.703734276762404</v>
      </c>
      <c r="I36" s="33">
        <f t="shared" si="8"/>
        <v>1.7037352767624014</v>
      </c>
      <c r="J36" s="33">
        <f t="shared" si="8"/>
        <v>1.4063983435231009</v>
      </c>
      <c r="K36" s="33">
        <f t="shared" si="8"/>
        <v>1.3570320158513027</v>
      </c>
      <c r="L36" s="33">
        <f t="shared" si="8"/>
        <v>1.3570310158513053</v>
      </c>
      <c r="M36" s="33">
        <f t="shared" si="8"/>
        <v>1.2104434894075027</v>
      </c>
      <c r="N36" s="33">
        <f t="shared" si="8"/>
        <v>1.1618037696769008</v>
      </c>
      <c r="O36" s="33">
        <f t="shared" si="8"/>
        <v>1.1429049949549039</v>
      </c>
      <c r="P36" s="33">
        <f t="shared" si="8"/>
        <v>0.98889568442200471</v>
      </c>
      <c r="Q36" s="33">
        <f t="shared" si="8"/>
        <v>0.91930335553010423</v>
      </c>
      <c r="R36" s="33">
        <f t="shared" si="8"/>
        <v>0.86114727304450156</v>
      </c>
      <c r="S36" s="33">
        <f t="shared" si="8"/>
        <v>0.79926395751419932</v>
      </c>
      <c r="T36" s="33">
        <f t="shared" si="8"/>
        <v>0.79926295751420184</v>
      </c>
      <c r="U36" s="33">
        <f t="shared" si="8"/>
        <v>0.75979362266620143</v>
      </c>
      <c r="V36" s="33">
        <f t="shared" si="8"/>
        <v>0.71845235753320225</v>
      </c>
      <c r="W36" s="33">
        <f t="shared" si="8"/>
        <v>0.67772177831029978</v>
      </c>
      <c r="X36" s="33">
        <f t="shared" si="8"/>
        <v>0.63630021323429986</v>
      </c>
      <c r="Y36" s="33">
        <f t="shared" si="8"/>
        <v>0.59736531829560136</v>
      </c>
      <c r="Z36" s="33">
        <f t="shared" si="8"/>
        <v>0.55235675566110132</v>
      </c>
      <c r="AA36" s="33">
        <f t="shared" si="8"/>
        <v>0.46297025995000496</v>
      </c>
      <c r="AB36" s="33">
        <f t="shared" si="8"/>
        <v>0.44330101405320477</v>
      </c>
      <c r="AC36" s="33">
        <f t="shared" si="8"/>
        <v>0.44330001405320019</v>
      </c>
      <c r="AD36" s="57"/>
      <c r="AE36" s="47">
        <f>AE5-$AD$5</f>
        <v>0.54846764107679746</v>
      </c>
      <c r="AF36" s="47">
        <f t="shared" ref="AF36:AY36" si="9">AF5-$AD$5</f>
        <v>0.54846864107680204</v>
      </c>
      <c r="AG36" s="47">
        <f>AG5-$AD$5</f>
        <v>0.58866739748069818</v>
      </c>
      <c r="AH36" s="47">
        <f t="shared" si="9"/>
        <v>0.61492431006890058</v>
      </c>
      <c r="AI36" s="47">
        <f t="shared" si="9"/>
        <v>0.57724690994629668</v>
      </c>
      <c r="AJ36" s="47">
        <f t="shared" si="9"/>
        <v>0.57724590994629921</v>
      </c>
      <c r="AK36" s="47">
        <f t="shared" si="9"/>
        <v>0.4592471818979007</v>
      </c>
      <c r="AL36" s="47">
        <f t="shared" si="9"/>
        <v>0.44600185527880143</v>
      </c>
      <c r="AM36" s="47">
        <f t="shared" si="9"/>
        <v>0.37049475016870304</v>
      </c>
      <c r="AN36" s="47">
        <f t="shared" si="9"/>
        <v>0.37049375016869845</v>
      </c>
      <c r="AO36" s="47">
        <f t="shared" si="9"/>
        <v>0.37049275016870098</v>
      </c>
      <c r="AP36" s="47">
        <f t="shared" si="9"/>
        <v>0.3704917501687035</v>
      </c>
      <c r="AQ36" s="47">
        <f t="shared" si="9"/>
        <v>0.21785403863189856</v>
      </c>
      <c r="AR36" s="47">
        <f t="shared" si="9"/>
        <v>7.3100194713198619E-2</v>
      </c>
      <c r="AS36" s="47">
        <f t="shared" si="9"/>
        <v>-3.7092944664998129E-2</v>
      </c>
      <c r="AT36" s="47">
        <f t="shared" si="9"/>
        <v>-0.12768310098550018</v>
      </c>
      <c r="AU36" s="47">
        <f t="shared" si="9"/>
        <v>-0.17721542662099665</v>
      </c>
      <c r="AV36" s="47">
        <f t="shared" si="9"/>
        <v>-0.32919357721900155</v>
      </c>
      <c r="AW36" s="47">
        <f t="shared" si="9"/>
        <v>-0.46332000225869763</v>
      </c>
      <c r="AX36" s="47">
        <f t="shared" si="9"/>
        <v>-0.60359354148859978</v>
      </c>
      <c r="AY36" s="47">
        <f t="shared" si="9"/>
        <v>-0.60359454148859726</v>
      </c>
      <c r="AZ36" s="47">
        <f t="shared" ref="AZ36:BC36" si="10">AZ5-$AD$5</f>
        <v>-0.62296094140889835</v>
      </c>
      <c r="BA36" s="47">
        <f t="shared" si="10"/>
        <v>-0.69966551011899725</v>
      </c>
      <c r="BB36" s="47">
        <f t="shared" si="10"/>
        <v>-0.69966651011900183</v>
      </c>
      <c r="BC36" s="47">
        <f t="shared" si="10"/>
        <v>-0.6996675101189993</v>
      </c>
    </row>
    <row r="37" spans="1:55" x14ac:dyDescent="0.3">
      <c r="A37">
        <v>1</v>
      </c>
      <c r="B37" s="29">
        <v>36.979999999999997</v>
      </c>
      <c r="C37" s="32">
        <v>2</v>
      </c>
      <c r="D37" s="33">
        <f t="shared" ref="D37:AC37" si="11">D6-$B$6</f>
        <v>1.2892867377105972</v>
      </c>
      <c r="E37" s="33">
        <f t="shared" si="11"/>
        <v>1.4274704145602968</v>
      </c>
      <c r="F37" s="33">
        <f t="shared" si="11"/>
        <v>1.5919296532551996</v>
      </c>
      <c r="G37" s="33">
        <f t="shared" si="11"/>
        <v>1.5968395285011994</v>
      </c>
      <c r="H37" s="33">
        <f t="shared" si="11"/>
        <v>1.616533297484601</v>
      </c>
      <c r="I37" s="33">
        <f t="shared" si="11"/>
        <v>1.5427081149071</v>
      </c>
      <c r="J37" s="33">
        <f t="shared" si="11"/>
        <v>1.3671002410525972</v>
      </c>
      <c r="K37" s="33">
        <f t="shared" si="11"/>
        <v>1.3547910580587015</v>
      </c>
      <c r="L37" s="33">
        <f t="shared" si="11"/>
        <v>1.3547900580586969</v>
      </c>
      <c r="M37" s="33">
        <f t="shared" si="11"/>
        <v>1.3028009451779994</v>
      </c>
      <c r="N37" s="33">
        <f t="shared" si="11"/>
        <v>1.2901864337708986</v>
      </c>
      <c r="O37" s="33">
        <f t="shared" si="11"/>
        <v>1.2901854337709011</v>
      </c>
      <c r="P37" s="33">
        <f t="shared" si="11"/>
        <v>1.1596746876217949</v>
      </c>
      <c r="Q37" s="33">
        <f t="shared" si="11"/>
        <v>1.103365257769795</v>
      </c>
      <c r="R37" s="33">
        <f t="shared" si="11"/>
        <v>1.047137087248899</v>
      </c>
      <c r="S37" s="33">
        <f t="shared" si="11"/>
        <v>0.98934148571179747</v>
      </c>
      <c r="T37" s="33">
        <f t="shared" si="11"/>
        <v>0.9893404857118</v>
      </c>
      <c r="U37" s="33">
        <f t="shared" si="11"/>
        <v>0.95189104109329747</v>
      </c>
      <c r="V37" s="33">
        <f t="shared" si="11"/>
        <v>0.91228255845759776</v>
      </c>
      <c r="W37" s="33">
        <f t="shared" si="11"/>
        <v>0.8715621371488993</v>
      </c>
      <c r="X37" s="33">
        <f t="shared" si="11"/>
        <v>0.83316215755879597</v>
      </c>
      <c r="Y37" s="33">
        <f t="shared" si="11"/>
        <v>0.79227886388159874</v>
      </c>
      <c r="Z37" s="33">
        <f t="shared" si="11"/>
        <v>0.75235837596069643</v>
      </c>
      <c r="AA37" s="33">
        <f t="shared" si="11"/>
        <v>0.66425616630269957</v>
      </c>
      <c r="AB37" s="33">
        <f t="shared" si="11"/>
        <v>0.64492781472469574</v>
      </c>
      <c r="AC37" s="33">
        <f t="shared" si="11"/>
        <v>0.64492681472469826</v>
      </c>
      <c r="AD37" s="57"/>
      <c r="AE37" s="47">
        <f>AE6-$AD$6</f>
        <v>0.53183303088960088</v>
      </c>
      <c r="AF37" s="47">
        <f t="shared" ref="AF37:AY37" si="12">AF6-$AD$6</f>
        <v>0.56332218630330289</v>
      </c>
      <c r="AG37" s="47">
        <f t="shared" si="12"/>
        <v>0.6225655406449988</v>
      </c>
      <c r="AH37" s="47">
        <f t="shared" si="12"/>
        <v>0.65491973920369873</v>
      </c>
      <c r="AI37" s="47">
        <f t="shared" si="12"/>
        <v>0.60879972439570196</v>
      </c>
      <c r="AJ37" s="47">
        <f t="shared" si="12"/>
        <v>0.59074375980249982</v>
      </c>
      <c r="AK37" s="47">
        <f t="shared" si="12"/>
        <v>0.46385569795430115</v>
      </c>
      <c r="AL37" s="47">
        <f t="shared" si="12"/>
        <v>0.42273731679959781</v>
      </c>
      <c r="AM37" s="47">
        <f t="shared" si="12"/>
        <v>0.32081592277769744</v>
      </c>
      <c r="AN37" s="47">
        <f t="shared" si="12"/>
        <v>0.32081492277779944</v>
      </c>
      <c r="AO37" s="47">
        <f t="shared" si="12"/>
        <v>0.32081392277780196</v>
      </c>
      <c r="AP37" s="47">
        <f t="shared" si="12"/>
        <v>0.29863676668760064</v>
      </c>
      <c r="AQ37" s="47">
        <f t="shared" si="12"/>
        <v>0.1127322695057984</v>
      </c>
      <c r="AR37" s="47">
        <f t="shared" si="12"/>
        <v>-4.4294801636397096E-2</v>
      </c>
      <c r="AS37" s="47">
        <f t="shared" si="12"/>
        <v>-0.1432440662788963</v>
      </c>
      <c r="AT37" s="47">
        <f t="shared" si="12"/>
        <v>-0.23014720074620243</v>
      </c>
      <c r="AU37" s="47">
        <f t="shared" si="12"/>
        <v>-0.2781232023988025</v>
      </c>
      <c r="AV37" s="47">
        <f t="shared" si="12"/>
        <v>-0.42778417543839709</v>
      </c>
      <c r="AW37" s="47">
        <f t="shared" si="12"/>
        <v>-0.57016902151359972</v>
      </c>
      <c r="AX37" s="47">
        <f t="shared" si="12"/>
        <v>-0.71634430732169818</v>
      </c>
      <c r="AY37" s="47">
        <f t="shared" si="12"/>
        <v>-0.71634530732169566</v>
      </c>
      <c r="AZ37" s="47">
        <f t="shared" ref="AZ37:BC37" si="13">AZ6-$AD$6</f>
        <v>-0.73633854916769792</v>
      </c>
      <c r="BA37" s="47">
        <f t="shared" si="13"/>
        <v>-0.81519548092679628</v>
      </c>
      <c r="BB37" s="47">
        <f t="shared" si="13"/>
        <v>-0.81519648092680086</v>
      </c>
      <c r="BC37" s="47">
        <f t="shared" si="13"/>
        <v>-0.81519748092679833</v>
      </c>
    </row>
    <row r="38" spans="1:55" x14ac:dyDescent="0.3">
      <c r="A38">
        <v>2</v>
      </c>
      <c r="B38" s="30">
        <v>36.909999999999997</v>
      </c>
      <c r="C38" s="32">
        <v>3</v>
      </c>
      <c r="D38" s="33">
        <f t="shared" ref="D38:AC38" si="14">D7-$B$7</f>
        <v>1.2383369729810028</v>
      </c>
      <c r="E38" s="33">
        <f t="shared" si="14"/>
        <v>1.3612894943368019</v>
      </c>
      <c r="F38" s="33">
        <f t="shared" si="14"/>
        <v>1.5624871701708969</v>
      </c>
      <c r="G38" s="33">
        <f t="shared" si="14"/>
        <v>1.5707500257672962</v>
      </c>
      <c r="H38" s="33">
        <f t="shared" si="14"/>
        <v>1.5919855521423969</v>
      </c>
      <c r="I38" s="33">
        <f t="shared" si="14"/>
        <v>1.5919865521424015</v>
      </c>
      <c r="J38" s="33">
        <f t="shared" si="14"/>
        <v>1.3192977007482014</v>
      </c>
      <c r="K38" s="33">
        <f t="shared" si="14"/>
        <v>1.299521373748199</v>
      </c>
      <c r="L38" s="33">
        <f t="shared" si="14"/>
        <v>1.2995203737482015</v>
      </c>
      <c r="M38" s="33">
        <f t="shared" si="14"/>
        <v>1.2274031160266006</v>
      </c>
      <c r="N38" s="33">
        <f t="shared" si="14"/>
        <v>1.2068217031434969</v>
      </c>
      <c r="O38" s="33">
        <f t="shared" si="14"/>
        <v>1.2068207031434994</v>
      </c>
      <c r="P38" s="33">
        <f t="shared" si="14"/>
        <v>1.0554548642485031</v>
      </c>
      <c r="Q38" s="33">
        <f t="shared" si="14"/>
        <v>0.99359018644970121</v>
      </c>
      <c r="R38" s="33">
        <f t="shared" si="14"/>
        <v>0.94395371827729946</v>
      </c>
      <c r="S38" s="33">
        <f t="shared" si="14"/>
        <v>0.88577885556019709</v>
      </c>
      <c r="T38" s="33">
        <f t="shared" si="14"/>
        <v>0.88577785556019961</v>
      </c>
      <c r="U38" s="33">
        <f t="shared" si="14"/>
        <v>0.84673861147410179</v>
      </c>
      <c r="V38" s="33">
        <f t="shared" si="14"/>
        <v>0.80791265864439765</v>
      </c>
      <c r="W38" s="33">
        <f t="shared" si="14"/>
        <v>0.76895948644769874</v>
      </c>
      <c r="X38" s="33">
        <f t="shared" si="14"/>
        <v>0.72971986162669822</v>
      </c>
      <c r="Y38" s="33">
        <f t="shared" si="14"/>
        <v>0.69040325936440183</v>
      </c>
      <c r="Z38" s="33">
        <f t="shared" si="14"/>
        <v>0.65199825751639651</v>
      </c>
      <c r="AA38" s="33">
        <f t="shared" si="14"/>
        <v>0.5648343447747024</v>
      </c>
      <c r="AB38" s="33">
        <f t="shared" si="14"/>
        <v>0.54558527765019704</v>
      </c>
      <c r="AC38" s="33">
        <f t="shared" si="14"/>
        <v>0.54558427765019957</v>
      </c>
      <c r="AD38" s="57"/>
      <c r="AE38" s="47">
        <f>AE7-$AD$7</f>
        <v>0.48354733723500232</v>
      </c>
      <c r="AF38" s="47">
        <f t="shared" ref="AF38:AY38" si="15">AF7-$AD$7</f>
        <v>0.50322336657249878</v>
      </c>
      <c r="AG38" s="47">
        <f t="shared" si="15"/>
        <v>0.55418462190809947</v>
      </c>
      <c r="AH38" s="47">
        <f t="shared" si="15"/>
        <v>0.5891035148544006</v>
      </c>
      <c r="AI38" s="47">
        <f t="shared" si="15"/>
        <v>0.54996187195680335</v>
      </c>
      <c r="AJ38" s="47">
        <f t="shared" si="15"/>
        <v>0.53983547892440242</v>
      </c>
      <c r="AK38" s="47">
        <f t="shared" si="15"/>
        <v>0.42392731856610055</v>
      </c>
      <c r="AL38" s="47">
        <f t="shared" si="15"/>
        <v>0.3919019611286032</v>
      </c>
      <c r="AM38" s="47">
        <f t="shared" si="15"/>
        <v>0.30338482968990377</v>
      </c>
      <c r="AN38" s="47">
        <f t="shared" si="15"/>
        <v>0.30338382968989919</v>
      </c>
      <c r="AO38" s="47">
        <f t="shared" si="15"/>
        <v>0.30338282968990171</v>
      </c>
      <c r="AP38" s="47">
        <f t="shared" si="15"/>
        <v>0.30141387251000396</v>
      </c>
      <c r="AQ38" s="47">
        <f t="shared" si="15"/>
        <v>0.11739396545380032</v>
      </c>
      <c r="AR38" s="47">
        <f t="shared" si="15"/>
        <v>-2.8666570417399839E-2</v>
      </c>
      <c r="AS38" s="47">
        <f t="shared" si="15"/>
        <v>-0.12740880495940132</v>
      </c>
      <c r="AT38" s="47">
        <f t="shared" si="15"/>
        <v>-0.21510102187029645</v>
      </c>
      <c r="AU38" s="47">
        <f t="shared" si="15"/>
        <v>-0.27279462710249902</v>
      </c>
      <c r="AV38" s="47">
        <f t="shared" si="15"/>
        <v>-0.42888831479810108</v>
      </c>
      <c r="AW38" s="47">
        <f t="shared" si="15"/>
        <v>-0.57256502555249966</v>
      </c>
      <c r="AX38" s="47">
        <f t="shared" si="15"/>
        <v>-0.70822895148759812</v>
      </c>
      <c r="AY38" s="47">
        <f t="shared" si="15"/>
        <v>-0.7082299514875956</v>
      </c>
      <c r="AZ38" s="47">
        <f t="shared" ref="AZ38:BC38" si="16">AZ7-$AD$7</f>
        <v>-0.73356021743850164</v>
      </c>
      <c r="BA38" s="47">
        <f t="shared" si="16"/>
        <v>-0.81313933807519589</v>
      </c>
      <c r="BB38" s="47">
        <f t="shared" si="16"/>
        <v>-0.81314033807520048</v>
      </c>
      <c r="BC38" s="47">
        <f t="shared" si="16"/>
        <v>-0.81314133807519795</v>
      </c>
    </row>
    <row r="39" spans="1:55" x14ac:dyDescent="0.3">
      <c r="A39">
        <v>3</v>
      </c>
      <c r="B39" s="30">
        <v>37.21</v>
      </c>
      <c r="C39" s="32">
        <v>4</v>
      </c>
      <c r="D39" s="33">
        <f t="shared" ref="D39:AC39" si="17">D8-$B$8</f>
        <v>1.2773397841825016</v>
      </c>
      <c r="E39" s="33">
        <f t="shared" si="17"/>
        <v>1.4093949254230012</v>
      </c>
      <c r="F39" s="33">
        <f t="shared" si="17"/>
        <v>1.6193023411989032</v>
      </c>
      <c r="G39" s="33">
        <f t="shared" si="17"/>
        <v>1.6335483199073053</v>
      </c>
      <c r="H39" s="33">
        <f t="shared" si="17"/>
        <v>1.657622406493104</v>
      </c>
      <c r="I39" s="33">
        <f t="shared" si="17"/>
        <v>1.6576234064931015</v>
      </c>
      <c r="J39" s="33">
        <f t="shared" si="17"/>
        <v>1.382934468095506</v>
      </c>
      <c r="K39" s="33">
        <f t="shared" si="17"/>
        <v>1.3555281894158</v>
      </c>
      <c r="L39" s="33">
        <f t="shared" si="17"/>
        <v>1.3555271894158025</v>
      </c>
      <c r="M39" s="33">
        <f t="shared" si="17"/>
        <v>1.2671817985316025</v>
      </c>
      <c r="N39" s="33">
        <f t="shared" si="17"/>
        <v>1.2402525060361</v>
      </c>
      <c r="O39" s="33">
        <f t="shared" si="17"/>
        <v>1.2374025038766021</v>
      </c>
      <c r="P39" s="33">
        <f t="shared" si="17"/>
        <v>1.0942944368221035</v>
      </c>
      <c r="Q39" s="33">
        <f t="shared" si="17"/>
        <v>1.0330815849817014</v>
      </c>
      <c r="R39" s="33">
        <f t="shared" si="17"/>
        <v>0.9829478366008999</v>
      </c>
      <c r="S39" s="33">
        <f t="shared" si="17"/>
        <v>0.92003326092700632</v>
      </c>
      <c r="T39" s="33">
        <f t="shared" si="17"/>
        <v>0.92003226092700174</v>
      </c>
      <c r="U39" s="33">
        <f t="shared" si="17"/>
        <v>0.88097048171400161</v>
      </c>
      <c r="V39" s="33">
        <f t="shared" si="17"/>
        <v>0.84160213100140169</v>
      </c>
      <c r="W39" s="33">
        <f t="shared" si="17"/>
        <v>0.80236032343740504</v>
      </c>
      <c r="X39" s="33">
        <f t="shared" si="17"/>
        <v>0.76303836702840044</v>
      </c>
      <c r="Y39" s="33">
        <f t="shared" si="17"/>
        <v>0.72381167613510655</v>
      </c>
      <c r="Z39" s="33">
        <f t="shared" si="17"/>
        <v>0.68322085667030308</v>
      </c>
      <c r="AA39" s="33">
        <f t="shared" si="17"/>
        <v>0.58801452361030471</v>
      </c>
      <c r="AB39" s="33">
        <f t="shared" si="17"/>
        <v>0.56650995483850153</v>
      </c>
      <c r="AC39" s="33">
        <f t="shared" si="17"/>
        <v>0.56650895483850405</v>
      </c>
      <c r="AD39" s="57"/>
      <c r="AE39" s="47">
        <f>AE8-$AD$8</f>
        <v>0.50247252897379724</v>
      </c>
      <c r="AF39" s="47">
        <f t="shared" ref="AF39:AY39" si="18">AF8-$AD$8</f>
        <v>0.50247352897379471</v>
      </c>
      <c r="AG39" s="47">
        <f t="shared" si="18"/>
        <v>0.52458264084440032</v>
      </c>
      <c r="AH39" s="47">
        <f t="shared" si="18"/>
        <v>0.55223413360119622</v>
      </c>
      <c r="AI39" s="47">
        <f t="shared" si="18"/>
        <v>0.5186661037326985</v>
      </c>
      <c r="AJ39" s="47">
        <f t="shared" si="18"/>
        <v>0.51866510373270103</v>
      </c>
      <c r="AK39" s="47">
        <f t="shared" si="18"/>
        <v>0.42925942553049623</v>
      </c>
      <c r="AL39" s="47">
        <f t="shared" si="18"/>
        <v>0.42008039454680102</v>
      </c>
      <c r="AM39" s="47">
        <f t="shared" si="18"/>
        <v>0.35354911490449581</v>
      </c>
      <c r="AN39" s="47">
        <f t="shared" si="18"/>
        <v>0.35354811490449833</v>
      </c>
      <c r="AO39" s="47">
        <f t="shared" si="18"/>
        <v>0.35354711490450086</v>
      </c>
      <c r="AP39" s="47">
        <f t="shared" si="18"/>
        <v>0.35354611490449628</v>
      </c>
      <c r="AQ39" s="47">
        <f t="shared" si="18"/>
        <v>0.20765719680579764</v>
      </c>
      <c r="AR39" s="47">
        <f t="shared" si="18"/>
        <v>5.1500184706995356E-2</v>
      </c>
      <c r="AS39" s="47">
        <f t="shared" si="18"/>
        <v>-4.8918345256602436E-2</v>
      </c>
      <c r="AT39" s="47">
        <f t="shared" si="18"/>
        <v>-0.14245749951550124</v>
      </c>
      <c r="AU39" s="47">
        <f t="shared" si="18"/>
        <v>-0.19093400501050439</v>
      </c>
      <c r="AV39" s="47">
        <f t="shared" si="18"/>
        <v>-0.36521822449660135</v>
      </c>
      <c r="AW39" s="47">
        <f t="shared" si="18"/>
        <v>-0.5077151515340006</v>
      </c>
      <c r="AX39" s="47">
        <f t="shared" si="18"/>
        <v>-0.64544886439330185</v>
      </c>
      <c r="AY39" s="47">
        <f t="shared" si="18"/>
        <v>-0.64544986439329932</v>
      </c>
      <c r="AZ39" s="47">
        <f t="shared" ref="AZ39:BC39" si="19">AZ8-$AD$8</f>
        <v>-0.66690663692800456</v>
      </c>
      <c r="BA39" s="47">
        <f t="shared" si="19"/>
        <v>-0.74961163862040081</v>
      </c>
      <c r="BB39" s="47">
        <f t="shared" si="19"/>
        <v>-0.74961263862040539</v>
      </c>
      <c r="BC39" s="47">
        <f t="shared" si="19"/>
        <v>-0.74961363862040287</v>
      </c>
    </row>
    <row r="40" spans="1:55" x14ac:dyDescent="0.3">
      <c r="A40">
        <v>4</v>
      </c>
      <c r="B40" s="30">
        <v>37.19</v>
      </c>
      <c r="C40" s="32">
        <v>5</v>
      </c>
      <c r="D40" s="33">
        <f t="shared" ref="D40:AC40" si="20">D9-$B$9</f>
        <v>1.3510954757425964</v>
      </c>
      <c r="E40" s="33">
        <f t="shared" si="20"/>
        <v>1.469105717557099</v>
      </c>
      <c r="F40" s="33">
        <f t="shared" si="20"/>
        <v>1.6305441479194016</v>
      </c>
      <c r="G40" s="33">
        <f t="shared" si="20"/>
        <v>1.6322475263311986</v>
      </c>
      <c r="H40" s="33">
        <f t="shared" si="20"/>
        <v>1.6539579285906996</v>
      </c>
      <c r="I40" s="33">
        <f t="shared" si="20"/>
        <v>1.653958928590697</v>
      </c>
      <c r="J40" s="33">
        <f t="shared" si="20"/>
        <v>1.3787912518919967</v>
      </c>
      <c r="K40" s="33">
        <f t="shared" si="20"/>
        <v>1.3717515327710004</v>
      </c>
      <c r="L40" s="33">
        <f t="shared" si="20"/>
        <v>1.3717505327709958</v>
      </c>
      <c r="M40" s="33">
        <f t="shared" si="20"/>
        <v>1.3262943969022984</v>
      </c>
      <c r="N40" s="33">
        <f t="shared" si="20"/>
        <v>1.3178450343171022</v>
      </c>
      <c r="O40" s="33">
        <f t="shared" si="20"/>
        <v>1.3178440343170976</v>
      </c>
      <c r="P40" s="33">
        <f t="shared" si="20"/>
        <v>1.1883000500118968</v>
      </c>
      <c r="Q40" s="33">
        <f t="shared" si="20"/>
        <v>1.1300655486589974</v>
      </c>
      <c r="R40" s="33">
        <f t="shared" si="20"/>
        <v>1.0836324960722976</v>
      </c>
      <c r="S40" s="33">
        <f t="shared" si="20"/>
        <v>1.0262157690703972</v>
      </c>
      <c r="T40" s="33">
        <f t="shared" si="20"/>
        <v>1.0262147690703998</v>
      </c>
      <c r="U40" s="33">
        <f t="shared" si="20"/>
        <v>0.98833814695930045</v>
      </c>
      <c r="V40" s="33">
        <f t="shared" si="20"/>
        <v>0.94648915933549915</v>
      </c>
      <c r="W40" s="33">
        <f t="shared" si="20"/>
        <v>0.9076049999443967</v>
      </c>
      <c r="X40" s="33">
        <f t="shared" si="20"/>
        <v>0.86913752577270031</v>
      </c>
      <c r="Y40" s="33">
        <f t="shared" si="20"/>
        <v>0.82535683500439916</v>
      </c>
      <c r="Z40" s="33">
        <f t="shared" si="20"/>
        <v>0.78670907670279888</v>
      </c>
      <c r="AA40" s="33">
        <f t="shared" si="20"/>
        <v>0.69893205846469897</v>
      </c>
      <c r="AB40" s="33">
        <f t="shared" si="20"/>
        <v>0.67832285273910031</v>
      </c>
      <c r="AC40" s="33">
        <f t="shared" si="20"/>
        <v>0.67832185273909573</v>
      </c>
      <c r="AD40" s="57"/>
      <c r="AE40" s="47">
        <f>AE9-$AD$9</f>
        <v>0.50658433777920209</v>
      </c>
      <c r="AF40" s="47">
        <f t="shared" ref="AF40:AY40" si="21">AF9-$AD$9</f>
        <v>0.51519360075040055</v>
      </c>
      <c r="AG40" s="47">
        <f t="shared" si="21"/>
        <v>0.56199639934079926</v>
      </c>
      <c r="AH40" s="47">
        <f t="shared" si="21"/>
        <v>0.59041413516929708</v>
      </c>
      <c r="AI40" s="47">
        <f t="shared" si="21"/>
        <v>0.5526941153256999</v>
      </c>
      <c r="AJ40" s="47">
        <f t="shared" si="21"/>
        <v>0.54993259299389763</v>
      </c>
      <c r="AK40" s="47">
        <f t="shared" si="21"/>
        <v>0.43758766915389913</v>
      </c>
      <c r="AL40" s="47">
        <f t="shared" si="21"/>
        <v>0.41865771352900083</v>
      </c>
      <c r="AM40" s="47">
        <f t="shared" si="21"/>
        <v>0.32231098735940122</v>
      </c>
      <c r="AN40" s="47">
        <f t="shared" si="21"/>
        <v>0.32230998735940375</v>
      </c>
      <c r="AO40" s="47">
        <f t="shared" si="21"/>
        <v>0.32230898735939917</v>
      </c>
      <c r="AP40" s="47">
        <f t="shared" si="21"/>
        <v>0.32230798735940169</v>
      </c>
      <c r="AQ40" s="47">
        <f t="shared" si="21"/>
        <v>0.13996108461520151</v>
      </c>
      <c r="AR40" s="47">
        <f t="shared" si="21"/>
        <v>-4.6236105497001745E-3</v>
      </c>
      <c r="AS40" s="47">
        <f t="shared" si="21"/>
        <v>-0.10003174426120154</v>
      </c>
      <c r="AT40" s="47">
        <f t="shared" si="21"/>
        <v>-0.19065834427279782</v>
      </c>
      <c r="AU40" s="47">
        <f t="shared" si="21"/>
        <v>-0.23879241536410234</v>
      </c>
      <c r="AV40" s="47">
        <f t="shared" si="21"/>
        <v>-0.38058452548519739</v>
      </c>
      <c r="AW40" s="47">
        <f t="shared" si="21"/>
        <v>-0.51726173769610284</v>
      </c>
      <c r="AX40" s="47">
        <f t="shared" si="21"/>
        <v>-0.65244704801109776</v>
      </c>
      <c r="AY40" s="47">
        <f t="shared" si="21"/>
        <v>-0.65244804801110234</v>
      </c>
      <c r="AZ40" s="47">
        <f t="shared" ref="AZ40:BC40" si="22">AZ9-$AD$9</f>
        <v>-0.67274579663430245</v>
      </c>
      <c r="BA40" s="47">
        <f t="shared" si="22"/>
        <v>-0.76720339282090322</v>
      </c>
      <c r="BB40" s="47">
        <f t="shared" si="22"/>
        <v>-0.76720439282090069</v>
      </c>
      <c r="BC40" s="47">
        <f t="shared" si="22"/>
        <v>-0.76720539282089817</v>
      </c>
    </row>
    <row r="41" spans="1:55" x14ac:dyDescent="0.3">
      <c r="A41">
        <v>5</v>
      </c>
      <c r="B41" s="30">
        <v>37.409999999999997</v>
      </c>
      <c r="C41" s="32">
        <v>6</v>
      </c>
      <c r="D41" s="33">
        <f t="shared" ref="D41:AC41" si="23">D10-$B$10</f>
        <v>1.2604463772745973</v>
      </c>
      <c r="E41" s="33">
        <f t="shared" si="23"/>
        <v>1.3846988931840016</v>
      </c>
      <c r="F41" s="33">
        <f t="shared" si="23"/>
        <v>1.5547110698202999</v>
      </c>
      <c r="G41" s="33">
        <f t="shared" si="23"/>
        <v>1.5631326797773966</v>
      </c>
      <c r="H41" s="33">
        <f t="shared" si="23"/>
        <v>1.5855201906565028</v>
      </c>
      <c r="I41" s="33">
        <f t="shared" si="23"/>
        <v>1.4991985109428967</v>
      </c>
      <c r="J41" s="33">
        <f t="shared" si="23"/>
        <v>1.3163810025708997</v>
      </c>
      <c r="K41" s="33">
        <f t="shared" si="23"/>
        <v>1.2982931232673991</v>
      </c>
      <c r="L41" s="33">
        <f t="shared" si="23"/>
        <v>1.2982921232674016</v>
      </c>
      <c r="M41" s="33">
        <f t="shared" si="23"/>
        <v>1.2255141428032985</v>
      </c>
      <c r="N41" s="33">
        <f t="shared" si="23"/>
        <v>1.206878759880901</v>
      </c>
      <c r="O41" s="33">
        <f t="shared" si="23"/>
        <v>1.2068777598808964</v>
      </c>
      <c r="P41" s="33">
        <f t="shared" si="23"/>
        <v>1.0694440865880992</v>
      </c>
      <c r="Q41" s="33">
        <f t="shared" si="23"/>
        <v>1.0121109729692961</v>
      </c>
      <c r="R41" s="33">
        <f t="shared" si="23"/>
        <v>0.96374370930659836</v>
      </c>
      <c r="S41" s="33">
        <f t="shared" si="23"/>
        <v>0.90609499310740205</v>
      </c>
      <c r="T41" s="33">
        <f t="shared" si="23"/>
        <v>0.90609399310739747</v>
      </c>
      <c r="U41" s="33">
        <f t="shared" si="23"/>
        <v>0.86837996182870114</v>
      </c>
      <c r="V41" s="33">
        <f t="shared" si="23"/>
        <v>0.82717175000639998</v>
      </c>
      <c r="W41" s="33">
        <f t="shared" si="23"/>
        <v>0.7879076770959017</v>
      </c>
      <c r="X41" s="33">
        <f t="shared" si="23"/>
        <v>0.74926449698440223</v>
      </c>
      <c r="Y41" s="33">
        <f t="shared" si="23"/>
        <v>0.71032511781680086</v>
      </c>
      <c r="Z41" s="33">
        <f t="shared" si="23"/>
        <v>0.66974955840279904</v>
      </c>
      <c r="AA41" s="33">
        <f t="shared" si="23"/>
        <v>0.5833031301004965</v>
      </c>
      <c r="AB41" s="33">
        <f t="shared" si="23"/>
        <v>0.5640750447659002</v>
      </c>
      <c r="AC41" s="33">
        <f t="shared" si="23"/>
        <v>0.56407404476590273</v>
      </c>
      <c r="AD41" s="57"/>
      <c r="AE41" s="47">
        <f>AE10-$AD$10</f>
        <v>0.51582533358710236</v>
      </c>
      <c r="AF41" s="47">
        <f t="shared" ref="AF41:AY41" si="24">AF10-$AD$10</f>
        <v>0.55425575857349685</v>
      </c>
      <c r="AG41" s="47">
        <f t="shared" si="24"/>
        <v>0.62077468718339901</v>
      </c>
      <c r="AH41" s="47">
        <f t="shared" si="24"/>
        <v>0.65665780918539696</v>
      </c>
      <c r="AI41" s="47">
        <f t="shared" si="24"/>
        <v>0.61324700342009919</v>
      </c>
      <c r="AJ41" s="47">
        <f t="shared" si="24"/>
        <v>0.58786855183849696</v>
      </c>
      <c r="AK41" s="47">
        <f t="shared" si="24"/>
        <v>0.45362816535340045</v>
      </c>
      <c r="AL41" s="47">
        <f t="shared" si="24"/>
        <v>0.40163491113040095</v>
      </c>
      <c r="AM41" s="47">
        <f t="shared" si="24"/>
        <v>0.28869220374180316</v>
      </c>
      <c r="AN41" s="47">
        <f t="shared" si="24"/>
        <v>0.28869120374179857</v>
      </c>
      <c r="AO41" s="47">
        <f t="shared" si="24"/>
        <v>0.2886902037418011</v>
      </c>
      <c r="AP41" s="47">
        <f t="shared" si="24"/>
        <v>0.25344527146800289</v>
      </c>
      <c r="AQ41" s="47">
        <f t="shared" si="24"/>
        <v>6.2514899983803218E-2</v>
      </c>
      <c r="AR41" s="47">
        <f t="shared" si="24"/>
        <v>-8.4253629413602482E-2</v>
      </c>
      <c r="AS41" s="47">
        <f t="shared" si="24"/>
        <v>-0.18860616347470227</v>
      </c>
      <c r="AT41" s="47">
        <f t="shared" si="24"/>
        <v>-0.27873387614000222</v>
      </c>
      <c r="AU41" s="47">
        <f t="shared" si="24"/>
        <v>-0.32746345898070217</v>
      </c>
      <c r="AV41" s="47">
        <f t="shared" si="24"/>
        <v>-0.47731057913350128</v>
      </c>
      <c r="AW41" s="47">
        <f t="shared" si="24"/>
        <v>-0.61859384946900065</v>
      </c>
      <c r="AX41" s="47">
        <f t="shared" si="24"/>
        <v>-0.75650257406400101</v>
      </c>
      <c r="AY41" s="47">
        <f t="shared" si="24"/>
        <v>-0.75650357406399849</v>
      </c>
      <c r="AZ41" s="47">
        <f t="shared" ref="AZ41:BC41" si="25">AZ10-$AD$10</f>
        <v>-0.77831533837169786</v>
      </c>
      <c r="BA41" s="47">
        <f t="shared" si="25"/>
        <v>-0.85908970415029984</v>
      </c>
      <c r="BB41" s="47">
        <f t="shared" si="25"/>
        <v>-0.85909070415029731</v>
      </c>
      <c r="BC41" s="47">
        <f t="shared" si="25"/>
        <v>-0.85909170415030189</v>
      </c>
    </row>
    <row r="42" spans="1:55" x14ac:dyDescent="0.3">
      <c r="A42">
        <v>6</v>
      </c>
      <c r="B42" s="30">
        <v>37.04</v>
      </c>
      <c r="C42" s="32">
        <v>7</v>
      </c>
      <c r="D42" s="33">
        <f t="shared" ref="D42:AC42" si="26">D11-$B$11</f>
        <v>1.2388885450648033</v>
      </c>
      <c r="E42" s="33">
        <f t="shared" si="26"/>
        <v>1.3630761280635042</v>
      </c>
      <c r="F42" s="33">
        <f t="shared" si="26"/>
        <v>1.5329242583596994</v>
      </c>
      <c r="G42" s="33">
        <f t="shared" si="26"/>
        <v>1.5414370558880037</v>
      </c>
      <c r="H42" s="33">
        <f t="shared" si="26"/>
        <v>1.561930927343802</v>
      </c>
      <c r="I42" s="33">
        <f t="shared" si="26"/>
        <v>1.4860978068139019</v>
      </c>
      <c r="J42" s="33">
        <f t="shared" si="26"/>
        <v>1.3076420829992017</v>
      </c>
      <c r="K42" s="33">
        <f t="shared" si="26"/>
        <v>1.2903174686472028</v>
      </c>
      <c r="L42" s="33">
        <f t="shared" si="26"/>
        <v>1.2903164686471982</v>
      </c>
      <c r="M42" s="33">
        <f t="shared" si="26"/>
        <v>1.2170845795807992</v>
      </c>
      <c r="N42" s="33">
        <f t="shared" si="26"/>
        <v>1.1983024625328014</v>
      </c>
      <c r="O42" s="33">
        <f t="shared" si="26"/>
        <v>1.1983014625328039</v>
      </c>
      <c r="P42" s="33">
        <f t="shared" si="26"/>
        <v>1.0639868990667978</v>
      </c>
      <c r="Q42" s="33">
        <f t="shared" si="26"/>
        <v>1.0055689844124984</v>
      </c>
      <c r="R42" s="33">
        <f t="shared" si="26"/>
        <v>0.95410737807019785</v>
      </c>
      <c r="S42" s="33">
        <f t="shared" si="26"/>
        <v>0.89545685875479819</v>
      </c>
      <c r="T42" s="33">
        <f t="shared" si="26"/>
        <v>0.89545585875480072</v>
      </c>
      <c r="U42" s="33">
        <f t="shared" si="26"/>
        <v>0.85526345532210257</v>
      </c>
      <c r="V42" s="33">
        <f t="shared" si="26"/>
        <v>0.81687483317190157</v>
      </c>
      <c r="W42" s="33">
        <f t="shared" si="26"/>
        <v>0.77675309935660408</v>
      </c>
      <c r="X42" s="33">
        <f t="shared" si="26"/>
        <v>0.73822060291280422</v>
      </c>
      <c r="Y42" s="33">
        <f t="shared" si="26"/>
        <v>0.69766422314189924</v>
      </c>
      <c r="Z42" s="33">
        <f t="shared" si="26"/>
        <v>0.65616315556270166</v>
      </c>
      <c r="AA42" s="33">
        <f t="shared" si="26"/>
        <v>0.5683932628419015</v>
      </c>
      <c r="AB42" s="33">
        <f t="shared" si="26"/>
        <v>0.54882960088570343</v>
      </c>
      <c r="AC42" s="33">
        <f t="shared" si="26"/>
        <v>0.54882860088569885</v>
      </c>
      <c r="AD42" s="57"/>
      <c r="AE42" s="47">
        <f>AE11-$AD$11</f>
        <v>0.48323661499239989</v>
      </c>
      <c r="AF42" s="47">
        <f t="shared" ref="AF42:AY42" si="27">AF11-$AD$11</f>
        <v>0.48323761499239737</v>
      </c>
      <c r="AG42" s="47">
        <f t="shared" si="27"/>
        <v>0.48323861499239484</v>
      </c>
      <c r="AH42" s="47">
        <f t="shared" si="27"/>
        <v>0.48382243204869724</v>
      </c>
      <c r="AI42" s="47">
        <f t="shared" si="27"/>
        <v>0.45356040065509973</v>
      </c>
      <c r="AJ42" s="47">
        <f t="shared" si="27"/>
        <v>0.45355940065509515</v>
      </c>
      <c r="AK42" s="47">
        <f t="shared" si="27"/>
        <v>0.38488230831480053</v>
      </c>
      <c r="AL42" s="47">
        <f t="shared" si="27"/>
        <v>0.38488130831479594</v>
      </c>
      <c r="AM42" s="47">
        <f t="shared" si="27"/>
        <v>0.33392103057829559</v>
      </c>
      <c r="AN42" s="47">
        <f t="shared" si="27"/>
        <v>0.33392003057829811</v>
      </c>
      <c r="AO42" s="47">
        <f t="shared" si="27"/>
        <v>0.33391903057830064</v>
      </c>
      <c r="AP42" s="47">
        <f t="shared" si="27"/>
        <v>0.33391803057829605</v>
      </c>
      <c r="AQ42" s="47">
        <f t="shared" si="27"/>
        <v>0.21140260694869539</v>
      </c>
      <c r="AR42" s="47">
        <f t="shared" si="27"/>
        <v>6.5092443424894952E-2</v>
      </c>
      <c r="AS42" s="47">
        <f t="shared" si="27"/>
        <v>-3.72287359199035E-2</v>
      </c>
      <c r="AT42" s="47">
        <f t="shared" si="27"/>
        <v>-0.12551888154840185</v>
      </c>
      <c r="AU42" s="47">
        <f t="shared" si="27"/>
        <v>-0.17454792153740328</v>
      </c>
      <c r="AV42" s="47">
        <f t="shared" si="27"/>
        <v>-0.32251522913670527</v>
      </c>
      <c r="AW42" s="47">
        <f t="shared" si="27"/>
        <v>-0.47255984414000096</v>
      </c>
      <c r="AX42" s="47">
        <f t="shared" si="27"/>
        <v>-0.6096648775235991</v>
      </c>
      <c r="AY42" s="47">
        <f t="shared" si="27"/>
        <v>-0.60966587752360368</v>
      </c>
      <c r="AZ42" s="47">
        <f t="shared" ref="AZ42:BC42" si="28">AZ11-$AD$11</f>
        <v>-0.62908477545079933</v>
      </c>
      <c r="BA42" s="47">
        <f t="shared" si="28"/>
        <v>-0.70653048762360271</v>
      </c>
      <c r="BB42" s="47">
        <f t="shared" si="28"/>
        <v>-0.70653148762360019</v>
      </c>
      <c r="BC42" s="47">
        <f t="shared" si="28"/>
        <v>-0.70653248762360477</v>
      </c>
    </row>
    <row r="43" spans="1:55" x14ac:dyDescent="0.3">
      <c r="A43">
        <v>7</v>
      </c>
      <c r="B43" s="30">
        <v>36.85</v>
      </c>
      <c r="C43" s="32">
        <v>8</v>
      </c>
      <c r="D43" s="33">
        <f t="shared" ref="D43:AC43" si="29">D12-$B$12</f>
        <v>1.3121086812903968</v>
      </c>
      <c r="E43" s="33">
        <f t="shared" si="29"/>
        <v>1.4101660611561968</v>
      </c>
      <c r="F43" s="33">
        <f t="shared" si="29"/>
        <v>1.5846002935852965</v>
      </c>
      <c r="G43" s="33">
        <f t="shared" si="29"/>
        <v>1.5846012935853011</v>
      </c>
      <c r="H43" s="33">
        <f t="shared" si="29"/>
        <v>1.5863458702627966</v>
      </c>
      <c r="I43" s="33">
        <f t="shared" si="29"/>
        <v>1.5863468702628012</v>
      </c>
      <c r="J43" s="33">
        <f t="shared" si="29"/>
        <v>1.3641425960784019</v>
      </c>
      <c r="K43" s="33">
        <f t="shared" si="29"/>
        <v>1.3641415960783974</v>
      </c>
      <c r="L43" s="33">
        <f t="shared" si="29"/>
        <v>1.3641405960783999</v>
      </c>
      <c r="M43" s="33">
        <f t="shared" si="29"/>
        <v>1.3641395960784024</v>
      </c>
      <c r="N43" s="33">
        <f t="shared" si="29"/>
        <v>1.3641385960783978</v>
      </c>
      <c r="O43" s="33">
        <f t="shared" si="29"/>
        <v>1.3641375960784003</v>
      </c>
      <c r="P43" s="33">
        <f t="shared" si="29"/>
        <v>1.2698530273383994</v>
      </c>
      <c r="Q43" s="33">
        <f t="shared" si="29"/>
        <v>1.2220696031377969</v>
      </c>
      <c r="R43" s="33">
        <f t="shared" si="29"/>
        <v>1.1774061962917983</v>
      </c>
      <c r="S43" s="33">
        <f t="shared" si="29"/>
        <v>1.1207794998709986</v>
      </c>
      <c r="T43" s="33">
        <f t="shared" si="29"/>
        <v>1.1207784998710011</v>
      </c>
      <c r="U43" s="33">
        <f t="shared" si="29"/>
        <v>1.084428184751502</v>
      </c>
      <c r="V43" s="33">
        <f t="shared" si="29"/>
        <v>1.041674150226001</v>
      </c>
      <c r="W43" s="33">
        <f t="shared" si="29"/>
        <v>1.0021750108753977</v>
      </c>
      <c r="X43" s="33">
        <f t="shared" si="29"/>
        <v>0.96362230895100254</v>
      </c>
      <c r="Y43" s="33">
        <f t="shared" si="29"/>
        <v>0.92487746956109618</v>
      </c>
      <c r="Z43" s="33">
        <f t="shared" si="29"/>
        <v>0.88563723966380081</v>
      </c>
      <c r="AA43" s="33">
        <f t="shared" si="29"/>
        <v>0.79923476060309895</v>
      </c>
      <c r="AB43" s="33">
        <f t="shared" si="29"/>
        <v>0.77925679647400159</v>
      </c>
      <c r="AC43" s="33">
        <f t="shared" si="29"/>
        <v>0.77925579647399701</v>
      </c>
      <c r="AD43" s="57"/>
      <c r="AE43" s="47">
        <f>AE12-$AD$12</f>
        <v>0.49489737623219554</v>
      </c>
      <c r="AF43" s="47">
        <f t="shared" ref="AF43:AY43" si="30">AF12-$AD$12</f>
        <v>0.50641166031289941</v>
      </c>
      <c r="AG43" s="47">
        <f t="shared" si="30"/>
        <v>0.55142864127459745</v>
      </c>
      <c r="AH43" s="47">
        <f t="shared" si="30"/>
        <v>0.58131864501369535</v>
      </c>
      <c r="AI43" s="47">
        <f t="shared" si="30"/>
        <v>0.54443342145570028</v>
      </c>
      <c r="AJ43" s="47">
        <f t="shared" si="30"/>
        <v>0.54024702279649972</v>
      </c>
      <c r="AK43" s="47">
        <f t="shared" si="30"/>
        <v>0.39521966245519735</v>
      </c>
      <c r="AL43" s="47">
        <f t="shared" si="30"/>
        <v>0.37580391716269901</v>
      </c>
      <c r="AM43" s="47">
        <f t="shared" si="30"/>
        <v>0.29852899361399921</v>
      </c>
      <c r="AN43" s="47">
        <f t="shared" si="30"/>
        <v>0.29852799361399462</v>
      </c>
      <c r="AO43" s="47">
        <f t="shared" si="30"/>
        <v>0.29852699361399715</v>
      </c>
      <c r="AP43" s="47">
        <f t="shared" si="30"/>
        <v>0.29852599361399967</v>
      </c>
      <c r="AQ43" s="47">
        <f t="shared" si="30"/>
        <v>0.14331238719339723</v>
      </c>
      <c r="AR43" s="47">
        <f t="shared" si="30"/>
        <v>-4.7608841803992163E-3</v>
      </c>
      <c r="AS43" s="47">
        <f t="shared" si="30"/>
        <v>-0.10012970689729883</v>
      </c>
      <c r="AT43" s="47">
        <f t="shared" si="30"/>
        <v>-0.19735396782790104</v>
      </c>
      <c r="AU43" s="47">
        <f t="shared" si="30"/>
        <v>-0.24860153411550101</v>
      </c>
      <c r="AV43" s="47">
        <f t="shared" si="30"/>
        <v>-0.39059299524539881</v>
      </c>
      <c r="AW43" s="47">
        <f t="shared" si="30"/>
        <v>-0.53259541695380364</v>
      </c>
      <c r="AX43" s="47">
        <f t="shared" si="30"/>
        <v>-0.66857415518619945</v>
      </c>
      <c r="AY43" s="47">
        <f t="shared" si="30"/>
        <v>-0.66857515518620403</v>
      </c>
      <c r="AZ43" s="47">
        <f t="shared" ref="AZ43:BC43" si="31">AZ12-$AD$12</f>
        <v>-0.68755430914610116</v>
      </c>
      <c r="BA43" s="47">
        <f t="shared" si="31"/>
        <v>-0.7652232870155018</v>
      </c>
      <c r="BB43" s="47">
        <f t="shared" si="31"/>
        <v>-0.76522428701549927</v>
      </c>
      <c r="BC43" s="47">
        <f t="shared" si="31"/>
        <v>-0.76522528701550385</v>
      </c>
    </row>
    <row r="44" spans="1:55" x14ac:dyDescent="0.3">
      <c r="A44">
        <v>8</v>
      </c>
      <c r="B44" s="30">
        <v>36.67</v>
      </c>
      <c r="C44" s="32">
        <v>9</v>
      </c>
      <c r="D44" s="33">
        <f t="shared" ref="D44:AC44" si="32">D13-$B$13</f>
        <v>1.1803499609119044</v>
      </c>
      <c r="E44" s="33">
        <f t="shared" si="32"/>
        <v>1.3210220487159035</v>
      </c>
      <c r="F44" s="33">
        <f t="shared" si="32"/>
        <v>1.5219510451873006</v>
      </c>
      <c r="G44" s="33">
        <f t="shared" si="32"/>
        <v>1.5406402045814005</v>
      </c>
      <c r="H44" s="33">
        <f t="shared" si="32"/>
        <v>1.5671864319991045</v>
      </c>
      <c r="I44" s="33">
        <f t="shared" si="32"/>
        <v>1.5671874319991019</v>
      </c>
      <c r="J44" s="33">
        <f t="shared" si="32"/>
        <v>1.2938576302071993</v>
      </c>
      <c r="K44" s="33">
        <f t="shared" si="32"/>
        <v>1.2597379126123016</v>
      </c>
      <c r="L44" s="33">
        <f t="shared" si="32"/>
        <v>1.2597369126123041</v>
      </c>
      <c r="M44" s="33">
        <f t="shared" si="32"/>
        <v>1.1546460773320035</v>
      </c>
      <c r="N44" s="33">
        <f t="shared" si="32"/>
        <v>1.1208941409399031</v>
      </c>
      <c r="O44" s="33">
        <f t="shared" si="32"/>
        <v>1.1133976285439005</v>
      </c>
      <c r="P44" s="33">
        <f t="shared" si="32"/>
        <v>0.96775561793999998</v>
      </c>
      <c r="Q44" s="33">
        <f t="shared" si="32"/>
        <v>0.90439611932740149</v>
      </c>
      <c r="R44" s="33">
        <f t="shared" si="32"/>
        <v>0.8526542971508988</v>
      </c>
      <c r="S44" s="33">
        <f t="shared" si="32"/>
        <v>0.78516091711509972</v>
      </c>
      <c r="T44" s="33">
        <f t="shared" si="32"/>
        <v>0.78515991711510225</v>
      </c>
      <c r="U44" s="33">
        <f t="shared" si="32"/>
        <v>0.74338832311800473</v>
      </c>
      <c r="V44" s="33">
        <f t="shared" si="32"/>
        <v>0.70333434430150277</v>
      </c>
      <c r="W44" s="33">
        <f t="shared" si="32"/>
        <v>0.66210887714040467</v>
      </c>
      <c r="X44" s="33">
        <f t="shared" si="32"/>
        <v>0.62363072000290032</v>
      </c>
      <c r="Y44" s="33">
        <f t="shared" si="32"/>
        <v>0.58353027744099961</v>
      </c>
      <c r="Z44" s="33">
        <f t="shared" si="32"/>
        <v>0.54380197649329887</v>
      </c>
      <c r="AA44" s="33">
        <f t="shared" si="32"/>
        <v>0.45551886588620505</v>
      </c>
      <c r="AB44" s="33">
        <f t="shared" si="32"/>
        <v>0.43632828359289988</v>
      </c>
      <c r="AC44" s="33">
        <f t="shared" si="32"/>
        <v>0.4363272835929024</v>
      </c>
      <c r="AD44" s="57"/>
      <c r="AE44" s="47">
        <f>AE13-$AD$13</f>
        <v>0.50780237044140364</v>
      </c>
      <c r="AF44" s="47">
        <f t="shared" ref="AF44:AY44" si="33">AF13-$AD$13</f>
        <v>0.54284382535010423</v>
      </c>
      <c r="AG44" s="47">
        <f t="shared" si="33"/>
        <v>0.6075551212312007</v>
      </c>
      <c r="AH44" s="47">
        <f t="shared" si="33"/>
        <v>0.64200934902019924</v>
      </c>
      <c r="AI44" s="47">
        <f t="shared" si="33"/>
        <v>0.59714766736590263</v>
      </c>
      <c r="AJ44" s="47">
        <f t="shared" si="33"/>
        <v>0.57850234800859823</v>
      </c>
      <c r="AK44" s="47">
        <f t="shared" si="33"/>
        <v>0.42995486393490268</v>
      </c>
      <c r="AL44" s="47">
        <f t="shared" si="33"/>
        <v>0.38669490041910137</v>
      </c>
      <c r="AM44" s="47">
        <f t="shared" si="33"/>
        <v>0.27977127280409775</v>
      </c>
      <c r="AN44" s="47">
        <f t="shared" si="33"/>
        <v>0.27977027280410027</v>
      </c>
      <c r="AO44" s="47">
        <f t="shared" si="33"/>
        <v>0.2797692728041028</v>
      </c>
      <c r="AP44" s="47">
        <f t="shared" si="33"/>
        <v>0.24636458511890424</v>
      </c>
      <c r="AQ44" s="47">
        <f t="shared" si="33"/>
        <v>5.2861798190001252E-2</v>
      </c>
      <c r="AR44" s="47">
        <f t="shared" si="33"/>
        <v>-9.8481084915697181E-2</v>
      </c>
      <c r="AS44" s="47">
        <f t="shared" si="33"/>
        <v>-0.20571153797809671</v>
      </c>
      <c r="AT44" s="47">
        <f t="shared" si="33"/>
        <v>-0.29238407595330074</v>
      </c>
      <c r="AU44" s="47">
        <f t="shared" si="33"/>
        <v>-0.34446545343019608</v>
      </c>
      <c r="AV44" s="47">
        <f t="shared" si="33"/>
        <v>-0.50142146474819782</v>
      </c>
      <c r="AW44" s="47">
        <f t="shared" si="33"/>
        <v>-0.63845769260890251</v>
      </c>
      <c r="AX44" s="47">
        <f t="shared" si="33"/>
        <v>-0.77946019656160104</v>
      </c>
      <c r="AY44" s="47">
        <f t="shared" si="33"/>
        <v>-0.77946119656159851</v>
      </c>
      <c r="AZ44" s="47">
        <f t="shared" ref="AZ44:BC44" si="34">AZ13-$AD$13</f>
        <v>-0.7997440312138977</v>
      </c>
      <c r="BA44" s="47">
        <f t="shared" si="34"/>
        <v>-0.88487798423239639</v>
      </c>
      <c r="BB44" s="47">
        <f t="shared" si="34"/>
        <v>-0.88487898423240097</v>
      </c>
      <c r="BC44" s="47">
        <f t="shared" si="34"/>
        <v>-0.88487998423239844</v>
      </c>
    </row>
    <row r="45" spans="1:55" x14ac:dyDescent="0.3">
      <c r="A45">
        <v>9</v>
      </c>
      <c r="B45" s="30">
        <v>37.520000000000003</v>
      </c>
      <c r="C45" s="32">
        <v>10</v>
      </c>
      <c r="D45" s="33">
        <f t="shared" ref="D45:AC45" si="35">D14-$B$14</f>
        <v>1.3116411173747053</v>
      </c>
      <c r="E45" s="33">
        <f t="shared" si="35"/>
        <v>1.4568785377664994</v>
      </c>
      <c r="F45" s="33">
        <f t="shared" si="35"/>
        <v>1.6447085847257057</v>
      </c>
      <c r="G45" s="33">
        <f t="shared" si="35"/>
        <v>1.6621130414020016</v>
      </c>
      <c r="H45" s="33">
        <f t="shared" si="35"/>
        <v>1.6874701023415</v>
      </c>
      <c r="I45" s="33">
        <f t="shared" si="35"/>
        <v>1.607422800741503</v>
      </c>
      <c r="J45" s="33">
        <f t="shared" si="35"/>
        <v>1.4158481085295023</v>
      </c>
      <c r="K45" s="33">
        <f t="shared" si="35"/>
        <v>1.3836705957911022</v>
      </c>
      <c r="L45" s="33">
        <f t="shared" si="35"/>
        <v>1.3836695957911047</v>
      </c>
      <c r="M45" s="33">
        <f t="shared" si="35"/>
        <v>1.278473439920603</v>
      </c>
      <c r="N45" s="33">
        <f t="shared" si="35"/>
        <v>1.2470178979589051</v>
      </c>
      <c r="O45" s="33">
        <f t="shared" si="35"/>
        <v>1.2410784204567022</v>
      </c>
      <c r="P45" s="33">
        <f t="shared" si="35"/>
        <v>1.0859240490091011</v>
      </c>
      <c r="Q45" s="33">
        <f t="shared" si="35"/>
        <v>1.0227308587357058</v>
      </c>
      <c r="R45" s="33">
        <f t="shared" si="35"/>
        <v>0.9686614046802049</v>
      </c>
      <c r="S45" s="33">
        <f t="shared" si="35"/>
        <v>0.90986807926990565</v>
      </c>
      <c r="T45" s="33">
        <f t="shared" si="35"/>
        <v>0.90986707926990107</v>
      </c>
      <c r="U45" s="33">
        <f t="shared" si="35"/>
        <v>0.87128454190870031</v>
      </c>
      <c r="V45" s="33">
        <f t="shared" si="35"/>
        <v>0.83227473442810407</v>
      </c>
      <c r="W45" s="33">
        <f t="shared" si="35"/>
        <v>0.79335718426800383</v>
      </c>
      <c r="X45" s="33">
        <f t="shared" si="35"/>
        <v>0.75236806000500422</v>
      </c>
      <c r="Y45" s="33">
        <f t="shared" si="35"/>
        <v>0.70972060851830321</v>
      </c>
      <c r="Z45" s="33">
        <f t="shared" si="35"/>
        <v>0.67090080418880405</v>
      </c>
      <c r="AA45" s="33">
        <f t="shared" si="35"/>
        <v>0.58096111444950083</v>
      </c>
      <c r="AB45" s="33">
        <f t="shared" si="35"/>
        <v>0.56145706385890293</v>
      </c>
      <c r="AC45" s="33">
        <f t="shared" si="35"/>
        <v>0.56145606385890545</v>
      </c>
      <c r="AD45" s="57"/>
      <c r="AE45" s="47">
        <f>AE14-$AD$14</f>
        <v>0.4779367469416016</v>
      </c>
      <c r="AF45" s="47">
        <f t="shared" ref="AF45:AY45" si="36">AF14-$AD$14</f>
        <v>0.47793774694159907</v>
      </c>
      <c r="AG45" s="47">
        <f t="shared" si="36"/>
        <v>0.51656594745659845</v>
      </c>
      <c r="AH45" s="47">
        <f t="shared" si="36"/>
        <v>0.54296076599899834</v>
      </c>
      <c r="AI45" s="47">
        <f t="shared" si="36"/>
        <v>0.50420807178729632</v>
      </c>
      <c r="AJ45" s="47">
        <f t="shared" si="36"/>
        <v>0.50420707178729884</v>
      </c>
      <c r="AK45" s="47">
        <f t="shared" si="36"/>
        <v>0.39868110058059614</v>
      </c>
      <c r="AL45" s="47">
        <f t="shared" si="36"/>
        <v>0.38442926888640017</v>
      </c>
      <c r="AM45" s="47">
        <f t="shared" si="36"/>
        <v>0.31071526916250036</v>
      </c>
      <c r="AN45" s="47">
        <f t="shared" si="36"/>
        <v>0.31071426916250289</v>
      </c>
      <c r="AO45" s="47">
        <f t="shared" si="36"/>
        <v>0.31071326916249831</v>
      </c>
      <c r="AP45" s="47">
        <f t="shared" si="36"/>
        <v>0.31071226916250083</v>
      </c>
      <c r="AQ45" s="47">
        <f t="shared" si="36"/>
        <v>0.14279809028050039</v>
      </c>
      <c r="AR45" s="47">
        <f t="shared" si="36"/>
        <v>-7.8851385422993303E-3</v>
      </c>
      <c r="AS45" s="47">
        <f t="shared" si="36"/>
        <v>-0.10813054187590154</v>
      </c>
      <c r="AT45" s="47">
        <f t="shared" si="36"/>
        <v>-0.19525726323539772</v>
      </c>
      <c r="AU45" s="47">
        <f t="shared" si="36"/>
        <v>-0.24483069015330017</v>
      </c>
      <c r="AV45" s="47">
        <f t="shared" si="36"/>
        <v>-0.39344337273060148</v>
      </c>
      <c r="AW45" s="47">
        <f t="shared" si="36"/>
        <v>-0.53026475464940148</v>
      </c>
      <c r="AX45" s="47">
        <f t="shared" si="36"/>
        <v>-0.66592174431160345</v>
      </c>
      <c r="AY45" s="47">
        <f t="shared" si="36"/>
        <v>-0.66592274431160092</v>
      </c>
      <c r="AZ45" s="47">
        <f t="shared" ref="AZ45:BC45" si="37">AZ14-$AD$14</f>
        <v>-0.68631613933779789</v>
      </c>
      <c r="BA45" s="47">
        <f t="shared" si="37"/>
        <v>-0.7639012084999024</v>
      </c>
      <c r="BB45" s="47">
        <f t="shared" si="37"/>
        <v>-0.76390220849989987</v>
      </c>
      <c r="BC45" s="47">
        <f t="shared" si="37"/>
        <v>-0.76390320849989735</v>
      </c>
    </row>
    <row r="46" spans="1:55" x14ac:dyDescent="0.3">
      <c r="A46">
        <v>10</v>
      </c>
      <c r="B46" s="30">
        <v>37.340000000000003</v>
      </c>
      <c r="C46" s="32">
        <v>11</v>
      </c>
      <c r="D46" s="33">
        <f t="shared" ref="D46:AC46" si="38">D15-$B$15</f>
        <v>1.3055692473218983</v>
      </c>
      <c r="E46" s="33">
        <f t="shared" si="38"/>
        <v>1.4269091910791047</v>
      </c>
      <c r="F46" s="33">
        <f t="shared" si="38"/>
        <v>1.5983160773917007</v>
      </c>
      <c r="G46" s="33">
        <f t="shared" si="38"/>
        <v>1.6000891876491039</v>
      </c>
      <c r="H46" s="33">
        <f t="shared" si="38"/>
        <v>1.6181884881770046</v>
      </c>
      <c r="I46" s="33">
        <f t="shared" si="38"/>
        <v>1.5454346536438024</v>
      </c>
      <c r="J46" s="33">
        <f t="shared" si="38"/>
        <v>1.3515028668978033</v>
      </c>
      <c r="K46" s="33">
        <f t="shared" si="38"/>
        <v>1.3427654873575037</v>
      </c>
      <c r="L46" s="33">
        <f t="shared" si="38"/>
        <v>1.3427644873574991</v>
      </c>
      <c r="M46" s="33">
        <f t="shared" si="38"/>
        <v>1.2926316038563002</v>
      </c>
      <c r="N46" s="33">
        <f t="shared" si="38"/>
        <v>1.2813994584411006</v>
      </c>
      <c r="O46" s="33">
        <f t="shared" si="38"/>
        <v>1.2813984584411031</v>
      </c>
      <c r="P46" s="33">
        <f t="shared" si="38"/>
        <v>1.1569373030326986</v>
      </c>
      <c r="Q46" s="33">
        <f t="shared" si="38"/>
        <v>1.101302681166402</v>
      </c>
      <c r="R46" s="33">
        <f t="shared" si="38"/>
        <v>1.0546774270461015</v>
      </c>
      <c r="S46" s="33">
        <f t="shared" si="38"/>
        <v>0.99601518736150041</v>
      </c>
      <c r="T46" s="33">
        <f t="shared" si="38"/>
        <v>0.99601418736150293</v>
      </c>
      <c r="U46" s="33">
        <f t="shared" si="38"/>
        <v>0.95792099659140462</v>
      </c>
      <c r="V46" s="33">
        <f t="shared" si="38"/>
        <v>0.91376409740350084</v>
      </c>
      <c r="W46" s="33">
        <f t="shared" si="38"/>
        <v>0.87265074887750416</v>
      </c>
      <c r="X46" s="33">
        <f t="shared" si="38"/>
        <v>0.83103933186010437</v>
      </c>
      <c r="Y46" s="33">
        <f t="shared" si="38"/>
        <v>0.79230302055910329</v>
      </c>
      <c r="Z46" s="33">
        <f t="shared" si="38"/>
        <v>0.75369897606750413</v>
      </c>
      <c r="AA46" s="33">
        <f t="shared" si="38"/>
        <v>0.64999330662880084</v>
      </c>
      <c r="AB46" s="33">
        <f t="shared" si="38"/>
        <v>0.63016845940430244</v>
      </c>
      <c r="AC46" s="33">
        <f t="shared" si="38"/>
        <v>0.63016745940429786</v>
      </c>
      <c r="AD46" s="57"/>
      <c r="AE46" s="47">
        <f>AE15-$AD$15</f>
        <v>0.46976217040189994</v>
      </c>
      <c r="AF46" s="47">
        <f t="shared" ref="AF46:AY46" si="39">AF15-$AD$15</f>
        <v>0.47409222554530572</v>
      </c>
      <c r="AG46" s="47">
        <f t="shared" si="39"/>
        <v>0.51610425071380206</v>
      </c>
      <c r="AH46" s="47">
        <f t="shared" si="39"/>
        <v>0.54281876914160421</v>
      </c>
      <c r="AI46" s="47">
        <f t="shared" si="39"/>
        <v>0.50744235187660536</v>
      </c>
      <c r="AJ46" s="47">
        <f t="shared" si="39"/>
        <v>0.50641142484890622</v>
      </c>
      <c r="AK46" s="47">
        <f t="shared" si="39"/>
        <v>0.40123930468130453</v>
      </c>
      <c r="AL46" s="47">
        <f t="shared" si="39"/>
        <v>0.38548716753590639</v>
      </c>
      <c r="AM46" s="47">
        <f t="shared" si="39"/>
        <v>0.30928822657670452</v>
      </c>
      <c r="AN46" s="47">
        <f t="shared" si="39"/>
        <v>0.30928722657669994</v>
      </c>
      <c r="AO46" s="47">
        <f t="shared" si="39"/>
        <v>0.30928622657670246</v>
      </c>
      <c r="AP46" s="47">
        <f t="shared" si="39"/>
        <v>0.30928522657670499</v>
      </c>
      <c r="AQ46" s="47">
        <f t="shared" si="39"/>
        <v>0.14439463559820354</v>
      </c>
      <c r="AR46" s="47">
        <f t="shared" si="39"/>
        <v>8.5929507019955054E-4</v>
      </c>
      <c r="AS46" s="47">
        <f t="shared" si="39"/>
        <v>-9.5372249659497754E-2</v>
      </c>
      <c r="AT46" s="47">
        <f t="shared" si="39"/>
        <v>-0.18588216457819584</v>
      </c>
      <c r="AU46" s="47">
        <f t="shared" si="39"/>
        <v>-0.234394670285198</v>
      </c>
      <c r="AV46" s="47">
        <f t="shared" si="39"/>
        <v>-0.37789364486189925</v>
      </c>
      <c r="AW46" s="47">
        <f t="shared" si="39"/>
        <v>-0.51667211355339759</v>
      </c>
      <c r="AX46" s="47">
        <f t="shared" si="39"/>
        <v>-0.65425510938669618</v>
      </c>
      <c r="AY46" s="47">
        <f t="shared" si="39"/>
        <v>-0.65425610938669365</v>
      </c>
      <c r="AZ46" s="47">
        <f t="shared" ref="AZ46:BC46" si="40">AZ15-$AD$15</f>
        <v>-0.67355250116659704</v>
      </c>
      <c r="BA46" s="47">
        <f t="shared" si="40"/>
        <v>-0.75086569312389884</v>
      </c>
      <c r="BB46" s="47">
        <f t="shared" si="40"/>
        <v>-0.75086669312389631</v>
      </c>
      <c r="BC46" s="47">
        <f t="shared" si="40"/>
        <v>-0.75086769312389379</v>
      </c>
    </row>
    <row r="47" spans="1:55" x14ac:dyDescent="0.3">
      <c r="A47">
        <v>11</v>
      </c>
      <c r="B47" s="30">
        <v>37.07</v>
      </c>
      <c r="C47" s="32">
        <v>12</v>
      </c>
      <c r="D47" s="33">
        <f t="shared" ref="D47:AC47" si="41">D16-$B$16</f>
        <v>1.2707245631601012</v>
      </c>
      <c r="E47" s="33">
        <f t="shared" si="41"/>
        <v>1.4032885721331994</v>
      </c>
      <c r="F47" s="33">
        <f t="shared" si="41"/>
        <v>1.5742529352839014</v>
      </c>
      <c r="G47" s="33">
        <f t="shared" si="41"/>
        <v>1.5806493999794</v>
      </c>
      <c r="H47" s="33">
        <f t="shared" si="41"/>
        <v>1.6002998774368038</v>
      </c>
      <c r="I47" s="33">
        <f t="shared" si="41"/>
        <v>1.521587953280104</v>
      </c>
      <c r="J47" s="33">
        <f t="shared" si="41"/>
        <v>1.3169017369431018</v>
      </c>
      <c r="K47" s="33">
        <f t="shared" si="41"/>
        <v>1.3019952378986019</v>
      </c>
      <c r="L47" s="33">
        <f t="shared" si="41"/>
        <v>1.3019942378986045</v>
      </c>
      <c r="M47" s="33">
        <f t="shared" si="41"/>
        <v>1.2371234761126004</v>
      </c>
      <c r="N47" s="33">
        <f t="shared" si="41"/>
        <v>1.221706497172498</v>
      </c>
      <c r="O47" s="33">
        <f t="shared" si="41"/>
        <v>1.2217054971725005</v>
      </c>
      <c r="P47" s="33">
        <f t="shared" si="41"/>
        <v>1.0770009181361999</v>
      </c>
      <c r="Q47" s="33">
        <f t="shared" si="41"/>
        <v>1.0195130860142996</v>
      </c>
      <c r="R47" s="33">
        <f t="shared" si="41"/>
        <v>0.96841444623360218</v>
      </c>
      <c r="S47" s="33">
        <f t="shared" si="41"/>
        <v>0.90671724251149755</v>
      </c>
      <c r="T47" s="33">
        <f t="shared" si="41"/>
        <v>0.90671624251150007</v>
      </c>
      <c r="U47" s="33">
        <f t="shared" si="41"/>
        <v>0.86362239483670322</v>
      </c>
      <c r="V47" s="33">
        <f t="shared" si="41"/>
        <v>0.82516195746789833</v>
      </c>
      <c r="W47" s="33">
        <f t="shared" si="41"/>
        <v>0.77817233143320408</v>
      </c>
      <c r="X47" s="33">
        <f t="shared" si="41"/>
        <v>0.73660602918739926</v>
      </c>
      <c r="Y47" s="33">
        <f t="shared" si="41"/>
        <v>0.69772146857410178</v>
      </c>
      <c r="Z47" s="33">
        <f t="shared" si="41"/>
        <v>0.65812787077670265</v>
      </c>
      <c r="AA47" s="33">
        <f t="shared" si="41"/>
        <v>0.56520887894949823</v>
      </c>
      <c r="AB47" s="33">
        <f t="shared" si="41"/>
        <v>0.54457119529899956</v>
      </c>
      <c r="AC47" s="33">
        <f t="shared" si="41"/>
        <v>0.54457019529900208</v>
      </c>
      <c r="AD47" s="57"/>
      <c r="AE47" s="47">
        <f>AE16-$AD$16</f>
        <v>0.50030193461039829</v>
      </c>
      <c r="AF47" s="47">
        <f t="shared" ref="AF47:AY47" si="42">AF16-$AD$16</f>
        <v>0.5181287667596024</v>
      </c>
      <c r="AG47" s="47">
        <f t="shared" si="42"/>
        <v>0.56737945370009868</v>
      </c>
      <c r="AH47" s="47">
        <f t="shared" si="42"/>
        <v>0.59643570772570342</v>
      </c>
      <c r="AI47" s="47">
        <f t="shared" si="42"/>
        <v>0.55782686079960087</v>
      </c>
      <c r="AJ47" s="47">
        <f t="shared" si="42"/>
        <v>0.55095840905379845</v>
      </c>
      <c r="AK47" s="47">
        <f t="shared" si="42"/>
        <v>0.43681018007330152</v>
      </c>
      <c r="AL47" s="47">
        <f t="shared" si="42"/>
        <v>0.4077790959506018</v>
      </c>
      <c r="AM47" s="47">
        <f t="shared" si="42"/>
        <v>0.32431033600820314</v>
      </c>
      <c r="AN47" s="47">
        <f t="shared" si="42"/>
        <v>0.32430933600819856</v>
      </c>
      <c r="AO47" s="47">
        <f t="shared" si="42"/>
        <v>0.32430833600820108</v>
      </c>
      <c r="AP47" s="47">
        <f t="shared" si="42"/>
        <v>0.32430733600820361</v>
      </c>
      <c r="AQ47" s="47">
        <f t="shared" si="42"/>
        <v>0.12039969335609868</v>
      </c>
      <c r="AR47" s="47">
        <f t="shared" si="42"/>
        <v>-3.2858717461600406E-2</v>
      </c>
      <c r="AS47" s="47">
        <f t="shared" si="42"/>
        <v>-0.13000899397930255</v>
      </c>
      <c r="AT47" s="47">
        <f t="shared" si="42"/>
        <v>-0.21713546119269722</v>
      </c>
      <c r="AU47" s="47">
        <f t="shared" si="42"/>
        <v>-0.26514414267199982</v>
      </c>
      <c r="AV47" s="47">
        <f t="shared" si="42"/>
        <v>-0.41080772632859919</v>
      </c>
      <c r="AW47" s="47">
        <f t="shared" si="42"/>
        <v>-0.5510103595937963</v>
      </c>
      <c r="AX47" s="47">
        <f t="shared" si="42"/>
        <v>-0.700700339799603</v>
      </c>
      <c r="AY47" s="47">
        <f t="shared" si="42"/>
        <v>-0.70070133979960048</v>
      </c>
      <c r="AZ47" s="47">
        <f t="shared" ref="AZ47:BC47" si="43">AZ16-$AD$16</f>
        <v>-0.72106530328620266</v>
      </c>
      <c r="BA47" s="47">
        <f t="shared" si="43"/>
        <v>-0.80368752660479714</v>
      </c>
      <c r="BB47" s="47">
        <f t="shared" si="43"/>
        <v>-0.80368852660480172</v>
      </c>
      <c r="BC47" s="47">
        <f t="shared" si="43"/>
        <v>-0.8036895266047992</v>
      </c>
    </row>
    <row r="48" spans="1:55" x14ac:dyDescent="0.3">
      <c r="A48">
        <v>12</v>
      </c>
      <c r="B48" s="30">
        <v>36.81</v>
      </c>
      <c r="C48" s="32">
        <v>13</v>
      </c>
      <c r="D48" s="33">
        <f t="shared" ref="D48:AC48" si="44">D17-$B$17</f>
        <v>1.2795974155555001</v>
      </c>
      <c r="E48" s="33">
        <f t="shared" si="44"/>
        <v>1.4192699807488012</v>
      </c>
      <c r="F48" s="33">
        <f t="shared" si="44"/>
        <v>1.6103172815004996</v>
      </c>
      <c r="G48" s="33">
        <f t="shared" si="44"/>
        <v>1.6263285359828998</v>
      </c>
      <c r="H48" s="33">
        <f t="shared" si="44"/>
        <v>1.6507705392445047</v>
      </c>
      <c r="I48" s="33">
        <f t="shared" si="44"/>
        <v>1.5711295122215034</v>
      </c>
      <c r="J48" s="33">
        <f t="shared" si="44"/>
        <v>1.3819383357589032</v>
      </c>
      <c r="K48" s="33">
        <f t="shared" si="44"/>
        <v>1.3479228055389996</v>
      </c>
      <c r="L48" s="33">
        <f t="shared" si="44"/>
        <v>1.3479218055390021</v>
      </c>
      <c r="M48" s="33">
        <f t="shared" si="44"/>
        <v>1.2549458809790011</v>
      </c>
      <c r="N48" s="33">
        <f t="shared" si="44"/>
        <v>1.2237692645564024</v>
      </c>
      <c r="O48" s="33">
        <f t="shared" si="44"/>
        <v>1.2200783396552026</v>
      </c>
      <c r="P48" s="33">
        <f t="shared" si="44"/>
        <v>1.070701295801598</v>
      </c>
      <c r="Q48" s="33">
        <f t="shared" si="44"/>
        <v>1.0037549323449042</v>
      </c>
      <c r="R48" s="33">
        <f t="shared" si="44"/>
        <v>0.95332009313889898</v>
      </c>
      <c r="S48" s="33">
        <f t="shared" si="44"/>
        <v>0.89490693231709884</v>
      </c>
      <c r="T48" s="33">
        <f t="shared" si="44"/>
        <v>0.89490593231710136</v>
      </c>
      <c r="U48" s="33">
        <f t="shared" si="44"/>
        <v>0.85341479611100368</v>
      </c>
      <c r="V48" s="33">
        <f t="shared" si="44"/>
        <v>0.81448855924929831</v>
      </c>
      <c r="W48" s="33">
        <f t="shared" si="44"/>
        <v>0.77598569600600342</v>
      </c>
      <c r="X48" s="33">
        <f t="shared" si="44"/>
        <v>0.73668126215009977</v>
      </c>
      <c r="Y48" s="33">
        <f t="shared" si="44"/>
        <v>0.69818606166930408</v>
      </c>
      <c r="Z48" s="33">
        <f t="shared" si="44"/>
        <v>0.6591721264163013</v>
      </c>
      <c r="AA48" s="33">
        <f t="shared" si="44"/>
        <v>0.56885169100310407</v>
      </c>
      <c r="AB48" s="33">
        <f t="shared" si="44"/>
        <v>0.54580500658639863</v>
      </c>
      <c r="AC48" s="33">
        <f t="shared" si="44"/>
        <v>0.54580400658640116</v>
      </c>
      <c r="AD48" s="57"/>
      <c r="AE48" s="47">
        <f>AE17-$AD$17</f>
        <v>0.54242401835259813</v>
      </c>
      <c r="AF48" s="47">
        <f t="shared" ref="AF48:AY48" si="45">AF17-$AD$17</f>
        <v>0.58081345278019825</v>
      </c>
      <c r="AG48" s="47">
        <f t="shared" si="45"/>
        <v>0.64266404555380063</v>
      </c>
      <c r="AH48" s="47">
        <f t="shared" si="45"/>
        <v>0.67663972749389956</v>
      </c>
      <c r="AI48" s="47">
        <f t="shared" si="45"/>
        <v>0.63157870930439941</v>
      </c>
      <c r="AJ48" s="47">
        <f t="shared" si="45"/>
        <v>0.61002205313089775</v>
      </c>
      <c r="AK48" s="47">
        <f t="shared" si="45"/>
        <v>0.46327889502040165</v>
      </c>
      <c r="AL48" s="47">
        <f t="shared" si="45"/>
        <v>0.41235185627670035</v>
      </c>
      <c r="AM48" s="47">
        <f t="shared" si="45"/>
        <v>0.3072963071911019</v>
      </c>
      <c r="AN48" s="47">
        <f t="shared" si="45"/>
        <v>0.30729530719110443</v>
      </c>
      <c r="AO48" s="47">
        <f t="shared" si="45"/>
        <v>0.30729430719109985</v>
      </c>
      <c r="AP48" s="47">
        <f t="shared" si="45"/>
        <v>0.26517720889329865</v>
      </c>
      <c r="AQ48" s="47">
        <f t="shared" si="45"/>
        <v>6.8948258268001439E-2</v>
      </c>
      <c r="AR48" s="47">
        <f t="shared" si="45"/>
        <v>-8.0654779977898272E-2</v>
      </c>
      <c r="AS48" s="47">
        <f t="shared" si="45"/>
        <v>-0.18398267030839577</v>
      </c>
      <c r="AT48" s="47">
        <f t="shared" si="45"/>
        <v>-0.2865390016185998</v>
      </c>
      <c r="AU48" s="47">
        <f t="shared" si="45"/>
        <v>-0.3388799576832966</v>
      </c>
      <c r="AV48" s="47">
        <f t="shared" si="45"/>
        <v>-0.48765687273520086</v>
      </c>
      <c r="AW48" s="47">
        <f t="shared" si="45"/>
        <v>-0.62845728160719716</v>
      </c>
      <c r="AX48" s="47">
        <f t="shared" si="45"/>
        <v>-0.77274559480449767</v>
      </c>
      <c r="AY48" s="47">
        <f t="shared" si="45"/>
        <v>-0.77274659480450225</v>
      </c>
      <c r="AZ48" s="47">
        <f t="shared" ref="AZ48:BC48" si="46">AZ17-$AD$17</f>
        <v>-0.79212328814159605</v>
      </c>
      <c r="BA48" s="47">
        <f t="shared" si="46"/>
        <v>-0.87072712004339792</v>
      </c>
      <c r="BB48" s="47">
        <f t="shared" si="46"/>
        <v>-0.87072812004339539</v>
      </c>
      <c r="BC48" s="47">
        <f t="shared" si="46"/>
        <v>-0.87072912004339997</v>
      </c>
    </row>
    <row r="49" spans="1:55" x14ac:dyDescent="0.3">
      <c r="A49">
        <v>13</v>
      </c>
      <c r="B49" s="30">
        <v>36.450000000000003</v>
      </c>
      <c r="C49" s="32">
        <v>14</v>
      </c>
      <c r="D49" s="33">
        <f t="shared" ref="D49:AC49" si="47">D18-$B$18</f>
        <v>1.306515762465402</v>
      </c>
      <c r="E49" s="33">
        <f t="shared" si="47"/>
        <v>1.4278604239598991</v>
      </c>
      <c r="F49" s="33">
        <f t="shared" si="47"/>
        <v>1.6038109638082005</v>
      </c>
      <c r="G49" s="33">
        <f t="shared" si="47"/>
        <v>1.6109574256702999</v>
      </c>
      <c r="H49" s="33">
        <f t="shared" si="47"/>
        <v>1.6308603595607991</v>
      </c>
      <c r="I49" s="33">
        <f t="shared" si="47"/>
        <v>1.5555736763769019</v>
      </c>
      <c r="J49" s="33">
        <f t="shared" si="47"/>
        <v>1.3532154056563002</v>
      </c>
      <c r="K49" s="33">
        <f t="shared" si="47"/>
        <v>1.3366882625738015</v>
      </c>
      <c r="L49" s="33">
        <f t="shared" si="47"/>
        <v>1.3366872625737969</v>
      </c>
      <c r="M49" s="33">
        <f t="shared" si="47"/>
        <v>1.2769915507874998</v>
      </c>
      <c r="N49" s="33">
        <f t="shared" si="47"/>
        <v>1.2618415641671987</v>
      </c>
      <c r="O49" s="33">
        <f t="shared" si="47"/>
        <v>1.2618405641672013</v>
      </c>
      <c r="P49" s="33">
        <f t="shared" si="47"/>
        <v>1.1295158583395022</v>
      </c>
      <c r="Q49" s="33">
        <f t="shared" si="47"/>
        <v>1.071078441285799</v>
      </c>
      <c r="R49" s="33">
        <f t="shared" si="47"/>
        <v>1.0233685272125967</v>
      </c>
      <c r="S49" s="33">
        <f t="shared" si="47"/>
        <v>0.9626578183270027</v>
      </c>
      <c r="T49" s="33">
        <f t="shared" si="47"/>
        <v>0.96265681832699812</v>
      </c>
      <c r="U49" s="33">
        <f t="shared" si="47"/>
        <v>0.92245620602010092</v>
      </c>
      <c r="V49" s="33">
        <f t="shared" si="47"/>
        <v>0.88369888474539948</v>
      </c>
      <c r="W49" s="33">
        <f t="shared" si="47"/>
        <v>0.84525617215000182</v>
      </c>
      <c r="X49" s="33">
        <f t="shared" si="47"/>
        <v>0.80477278838800004</v>
      </c>
      <c r="Y49" s="33">
        <f t="shared" si="47"/>
        <v>0.76480220400009813</v>
      </c>
      <c r="Z49" s="33">
        <f t="shared" si="47"/>
        <v>0.72498902471689775</v>
      </c>
      <c r="AA49" s="33">
        <f t="shared" si="47"/>
        <v>0.62981705797889731</v>
      </c>
      <c r="AB49" s="33">
        <f t="shared" si="47"/>
        <v>0.60987931463260026</v>
      </c>
      <c r="AC49" s="33">
        <f t="shared" si="47"/>
        <v>0.60987831463260278</v>
      </c>
      <c r="AD49" s="57"/>
      <c r="AE49" s="47">
        <f>AE18-$AD$18</f>
        <v>0.48610712333650241</v>
      </c>
      <c r="AF49" s="47">
        <f t="shared" ref="AF49:AY49" si="48">AF18-$AD$18</f>
        <v>0.49356587627639925</v>
      </c>
      <c r="AG49" s="47">
        <f t="shared" si="48"/>
        <v>0.53874141565589895</v>
      </c>
      <c r="AH49" s="47">
        <f t="shared" si="48"/>
        <v>0.56650803907709957</v>
      </c>
      <c r="AI49" s="47">
        <f t="shared" si="48"/>
        <v>0.53114223824230322</v>
      </c>
      <c r="AJ49" s="47">
        <f t="shared" si="48"/>
        <v>0.52965301527319752</v>
      </c>
      <c r="AK49" s="47">
        <f t="shared" si="48"/>
        <v>0.42322890722140016</v>
      </c>
      <c r="AL49" s="47">
        <f t="shared" si="48"/>
        <v>0.40439083107209939</v>
      </c>
      <c r="AM49" s="47">
        <f t="shared" si="48"/>
        <v>0.3213792511879987</v>
      </c>
      <c r="AN49" s="47">
        <f t="shared" si="48"/>
        <v>0.32137825118800123</v>
      </c>
      <c r="AO49" s="47">
        <f t="shared" si="48"/>
        <v>0.32137725118800375</v>
      </c>
      <c r="AP49" s="47">
        <f t="shared" si="48"/>
        <v>0.32137625118799917</v>
      </c>
      <c r="AQ49" s="47">
        <f t="shared" si="48"/>
        <v>0.15396313291059727</v>
      </c>
      <c r="AR49" s="47">
        <f t="shared" si="48"/>
        <v>-5.5874321868998322E-3</v>
      </c>
      <c r="AS49" s="47">
        <f t="shared" si="48"/>
        <v>-0.10061352798769718</v>
      </c>
      <c r="AT49" s="47">
        <f t="shared" si="48"/>
        <v>-0.18869899470019647</v>
      </c>
      <c r="AU49" s="47">
        <f t="shared" si="48"/>
        <v>-0.23998853103670115</v>
      </c>
      <c r="AV49" s="47">
        <f t="shared" si="48"/>
        <v>-0.39533515286490228</v>
      </c>
      <c r="AW49" s="47">
        <f t="shared" si="48"/>
        <v>-0.53014851466350166</v>
      </c>
      <c r="AX49" s="47">
        <f t="shared" si="48"/>
        <v>-0.68802619410350019</v>
      </c>
      <c r="AY49" s="47">
        <f t="shared" si="48"/>
        <v>-0.68802719410349766</v>
      </c>
      <c r="AZ49" s="47">
        <f t="shared" ref="AZ49:BC49" si="49">AZ18-$AD$18</f>
        <v>-0.70743361634720259</v>
      </c>
      <c r="BA49" s="47">
        <f t="shared" si="49"/>
        <v>-0.78567642721350239</v>
      </c>
      <c r="BB49" s="47">
        <f t="shared" si="49"/>
        <v>-0.78567742721349987</v>
      </c>
      <c r="BC49" s="47">
        <f t="shared" si="49"/>
        <v>-0.78567842721349734</v>
      </c>
    </row>
    <row r="50" spans="1:55" x14ac:dyDescent="0.3">
      <c r="A50">
        <v>14</v>
      </c>
      <c r="B50" s="30">
        <v>37.68</v>
      </c>
      <c r="C50" s="32">
        <v>15</v>
      </c>
      <c r="D50" s="33">
        <f t="shared" ref="D50:AC50" si="50">D19-$B$19</f>
        <v>1.2970046732752039</v>
      </c>
      <c r="E50" s="33">
        <f t="shared" si="50"/>
        <v>1.4342728738095971</v>
      </c>
      <c r="F50" s="33">
        <f t="shared" si="50"/>
        <v>1.6031726187290971</v>
      </c>
      <c r="G50" s="33">
        <f t="shared" si="50"/>
        <v>1.6094683942369983</v>
      </c>
      <c r="H50" s="33">
        <f t="shared" si="50"/>
        <v>1.6290452652693972</v>
      </c>
      <c r="I50" s="33">
        <f t="shared" si="50"/>
        <v>1.6290462652694018</v>
      </c>
      <c r="J50" s="33">
        <f t="shared" si="50"/>
        <v>1.3728199308157016</v>
      </c>
      <c r="K50" s="33">
        <f t="shared" si="50"/>
        <v>1.3549924958366972</v>
      </c>
      <c r="L50" s="33">
        <f t="shared" si="50"/>
        <v>1.3549914958367992</v>
      </c>
      <c r="M50" s="33">
        <f t="shared" si="50"/>
        <v>1.2864146262954037</v>
      </c>
      <c r="N50" s="33">
        <f t="shared" si="50"/>
        <v>1.2674162248830996</v>
      </c>
      <c r="O50" s="33">
        <f t="shared" si="50"/>
        <v>1.2674152248831021</v>
      </c>
      <c r="P50" s="33">
        <f t="shared" si="50"/>
        <v>1.1175475536112032</v>
      </c>
      <c r="Q50" s="33">
        <f t="shared" si="50"/>
        <v>1.0594965469189006</v>
      </c>
      <c r="R50" s="33">
        <f t="shared" si="50"/>
        <v>1.0107416818893</v>
      </c>
      <c r="S50" s="33">
        <f t="shared" si="50"/>
        <v>0.94681847782649697</v>
      </c>
      <c r="T50" s="33">
        <f t="shared" si="50"/>
        <v>0.9468174778264995</v>
      </c>
      <c r="U50" s="33">
        <f t="shared" si="50"/>
        <v>0.90769780726210314</v>
      </c>
      <c r="V50" s="33">
        <f t="shared" si="50"/>
        <v>0.86887264770290074</v>
      </c>
      <c r="W50" s="33">
        <f t="shared" si="50"/>
        <v>0.82727668671260091</v>
      </c>
      <c r="X50" s="33">
        <f t="shared" si="50"/>
        <v>0.78285957825139718</v>
      </c>
      <c r="Y50" s="33">
        <f t="shared" si="50"/>
        <v>0.7444661570439024</v>
      </c>
      <c r="Z50" s="33">
        <f t="shared" si="50"/>
        <v>0.70488079704050222</v>
      </c>
      <c r="AA50" s="33">
        <f t="shared" si="50"/>
        <v>0.61807272841689809</v>
      </c>
      <c r="AB50" s="33">
        <f t="shared" si="50"/>
        <v>0.59850834109040107</v>
      </c>
      <c r="AC50" s="33">
        <f t="shared" si="50"/>
        <v>0.5985073410904036</v>
      </c>
      <c r="AD50" s="57"/>
      <c r="AE50" s="47">
        <f>AE19-$AD$19</f>
        <v>0.48178231580269681</v>
      </c>
      <c r="AF50" s="47">
        <f t="shared" ref="AF50:AY50" si="51">AF19-$AD$19</f>
        <v>0.49527275460859954</v>
      </c>
      <c r="AG50" s="47">
        <f t="shared" si="51"/>
        <v>0.53970543489249678</v>
      </c>
      <c r="AH50" s="47">
        <f t="shared" si="51"/>
        <v>0.56937753113160028</v>
      </c>
      <c r="AI50" s="47">
        <f t="shared" si="51"/>
        <v>0.5262368522239953</v>
      </c>
      <c r="AJ50" s="47">
        <f t="shared" si="51"/>
        <v>0.52267549716239614</v>
      </c>
      <c r="AK50" s="47">
        <f t="shared" si="51"/>
        <v>0.41531625254279447</v>
      </c>
      <c r="AL50" s="47">
        <f t="shared" si="51"/>
        <v>0.39443742308979779</v>
      </c>
      <c r="AM50" s="47">
        <f t="shared" si="51"/>
        <v>0.31642040089829493</v>
      </c>
      <c r="AN50" s="47">
        <f t="shared" si="51"/>
        <v>0.31641940089829745</v>
      </c>
      <c r="AO50" s="47">
        <f t="shared" si="51"/>
        <v>0.31641840089829998</v>
      </c>
      <c r="AP50" s="47">
        <f t="shared" si="51"/>
        <v>0.31641740089839487</v>
      </c>
      <c r="AQ50" s="47">
        <f t="shared" si="51"/>
        <v>0.13002369449579732</v>
      </c>
      <c r="AR50" s="47">
        <f t="shared" si="51"/>
        <v>-1.5591385240199429E-2</v>
      </c>
      <c r="AS50" s="47">
        <f t="shared" si="51"/>
        <v>-0.11082204702719878</v>
      </c>
      <c r="AT50" s="47">
        <f t="shared" si="51"/>
        <v>-0.19890008131470438</v>
      </c>
      <c r="AU50" s="47">
        <f t="shared" si="51"/>
        <v>-0.2502996997274991</v>
      </c>
      <c r="AV50" s="47">
        <f t="shared" si="51"/>
        <v>-0.39217109219820401</v>
      </c>
      <c r="AW50" s="47">
        <f t="shared" si="51"/>
        <v>-0.53309351699440555</v>
      </c>
      <c r="AX50" s="47">
        <f t="shared" si="51"/>
        <v>-0.672807458139701</v>
      </c>
      <c r="AY50" s="47">
        <f t="shared" si="51"/>
        <v>-0.67280845813969847</v>
      </c>
      <c r="AZ50" s="47">
        <f t="shared" ref="AZ50:BC50" si="52">AZ19-$AD$19</f>
        <v>-0.69168822001829966</v>
      </c>
      <c r="BA50" s="47">
        <f t="shared" si="52"/>
        <v>-0.77239165100959895</v>
      </c>
      <c r="BB50" s="47">
        <f t="shared" si="52"/>
        <v>-0.77239265100960353</v>
      </c>
      <c r="BC50" s="47">
        <f t="shared" si="52"/>
        <v>-0.772393651009601</v>
      </c>
    </row>
    <row r="51" spans="1:55" x14ac:dyDescent="0.3">
      <c r="A51">
        <v>15</v>
      </c>
      <c r="B51" s="30">
        <v>37</v>
      </c>
      <c r="C51" s="32">
        <v>16</v>
      </c>
      <c r="D51" s="33">
        <f t="shared" ref="D51:AC51" si="53">D20-$B$20</f>
        <v>1.2783288191508007</v>
      </c>
      <c r="E51" s="33">
        <f t="shared" si="53"/>
        <v>1.3776281502407031</v>
      </c>
      <c r="F51" s="33">
        <f t="shared" si="53"/>
        <v>1.5234308922800039</v>
      </c>
      <c r="G51" s="33">
        <f t="shared" si="53"/>
        <v>1.5234318922800014</v>
      </c>
      <c r="H51" s="33">
        <f t="shared" si="53"/>
        <v>1.529260135164499</v>
      </c>
      <c r="I51" s="33">
        <f t="shared" si="53"/>
        <v>1.4374015451771029</v>
      </c>
      <c r="J51" s="33">
        <f t="shared" si="53"/>
        <v>1.2743133633846</v>
      </c>
      <c r="K51" s="33">
        <f t="shared" si="53"/>
        <v>1.2743123633846025</v>
      </c>
      <c r="L51" s="33">
        <f t="shared" si="53"/>
        <v>1.274311363384605</v>
      </c>
      <c r="M51" s="33">
        <f t="shared" si="53"/>
        <v>1.2630576719293032</v>
      </c>
      <c r="N51" s="33">
        <f t="shared" si="53"/>
        <v>1.2630566719293057</v>
      </c>
      <c r="O51" s="33">
        <f t="shared" si="53"/>
        <v>1.2630556719293011</v>
      </c>
      <c r="P51" s="33">
        <f t="shared" si="53"/>
        <v>1.1621113897054016</v>
      </c>
      <c r="Q51" s="33">
        <f t="shared" si="53"/>
        <v>1.1138206000385011</v>
      </c>
      <c r="R51" s="33">
        <f t="shared" si="53"/>
        <v>1.0699577586139029</v>
      </c>
      <c r="S51" s="33">
        <f t="shared" si="53"/>
        <v>1.0131284479148022</v>
      </c>
      <c r="T51" s="33">
        <f t="shared" si="53"/>
        <v>1.0131274479148047</v>
      </c>
      <c r="U51" s="33">
        <f t="shared" si="53"/>
        <v>0.96843291023930078</v>
      </c>
      <c r="V51" s="33">
        <f t="shared" si="53"/>
        <v>0.92921873822820089</v>
      </c>
      <c r="W51" s="33">
        <f t="shared" si="53"/>
        <v>0.89087535462500256</v>
      </c>
      <c r="X51" s="33">
        <f t="shared" si="53"/>
        <v>0.84972589809419929</v>
      </c>
      <c r="Y51" s="33">
        <f t="shared" si="53"/>
        <v>0.81123032681450269</v>
      </c>
      <c r="Z51" s="33">
        <f t="shared" si="53"/>
        <v>0.76500159542160162</v>
      </c>
      <c r="AA51" s="33">
        <f t="shared" si="53"/>
        <v>0.67553249131960058</v>
      </c>
      <c r="AB51" s="33">
        <f t="shared" si="53"/>
        <v>0.65600280250470178</v>
      </c>
      <c r="AC51" s="33">
        <f t="shared" si="53"/>
        <v>0.6560018025047043</v>
      </c>
      <c r="AD51" s="57"/>
      <c r="AE51" s="47">
        <f>AE20-$AD$20</f>
        <v>0.50042914754489942</v>
      </c>
      <c r="AF51" s="47">
        <f t="shared" ref="AF51:AY51" si="54">AF20-$AD$20</f>
        <v>0.51430589119280512</v>
      </c>
      <c r="AG51" s="47">
        <f t="shared" si="54"/>
        <v>0.56365612476449911</v>
      </c>
      <c r="AH51" s="47">
        <f t="shared" si="54"/>
        <v>0.59465202524680194</v>
      </c>
      <c r="AI51" s="47">
        <f t="shared" si="54"/>
        <v>0.55811137095459884</v>
      </c>
      <c r="AJ51" s="47">
        <f t="shared" si="54"/>
        <v>0.55420951116089867</v>
      </c>
      <c r="AK51" s="47">
        <f t="shared" si="54"/>
        <v>0.44070083319780196</v>
      </c>
      <c r="AL51" s="47">
        <f t="shared" si="54"/>
        <v>0.41572233397700131</v>
      </c>
      <c r="AM51" s="47">
        <f t="shared" si="54"/>
        <v>0.33190907372650003</v>
      </c>
      <c r="AN51" s="47">
        <f t="shared" si="54"/>
        <v>0.33190807372650255</v>
      </c>
      <c r="AO51" s="47">
        <f t="shared" si="54"/>
        <v>0.33190707372650508</v>
      </c>
      <c r="AP51" s="47">
        <f t="shared" si="54"/>
        <v>0.33190607372650049</v>
      </c>
      <c r="AQ51" s="47">
        <f t="shared" si="54"/>
        <v>0.1555194885612039</v>
      </c>
      <c r="AR51" s="47">
        <f t="shared" si="54"/>
        <v>8.8381969299007324E-3</v>
      </c>
      <c r="AS51" s="47">
        <f t="shared" si="54"/>
        <v>-8.9496610911901087E-2</v>
      </c>
      <c r="AT51" s="47">
        <f t="shared" si="54"/>
        <v>-0.1763782020017004</v>
      </c>
      <c r="AU51" s="47">
        <f t="shared" si="54"/>
        <v>-0.22520788221639521</v>
      </c>
      <c r="AV51" s="47">
        <f t="shared" si="54"/>
        <v>-0.37147752610349727</v>
      </c>
      <c r="AW51" s="47">
        <f t="shared" si="54"/>
        <v>-0.50817508055019545</v>
      </c>
      <c r="AX51" s="47">
        <f t="shared" si="54"/>
        <v>-0.64312151790259975</v>
      </c>
      <c r="AY51" s="47">
        <f t="shared" si="54"/>
        <v>-0.64312251790259722</v>
      </c>
      <c r="AZ51" s="47">
        <f t="shared" ref="AZ51:BC51" si="55">AZ20-$AD$20</f>
        <v>-0.66222810691689915</v>
      </c>
      <c r="BA51" s="47">
        <f t="shared" si="55"/>
        <v>-0.73997412844119737</v>
      </c>
      <c r="BB51" s="47">
        <f t="shared" si="55"/>
        <v>-0.73997512844119484</v>
      </c>
      <c r="BC51" s="47">
        <f t="shared" si="55"/>
        <v>-0.73997612844119942</v>
      </c>
    </row>
    <row r="52" spans="1:55" x14ac:dyDescent="0.3">
      <c r="A52">
        <v>16</v>
      </c>
      <c r="B52" s="30">
        <v>37.119999999999997</v>
      </c>
      <c r="C52" s="32">
        <v>17</v>
      </c>
      <c r="D52" s="33">
        <f t="shared" ref="D52:AC52" si="56">D21-$B$21</f>
        <v>1.2496638635536002</v>
      </c>
      <c r="E52" s="33">
        <f t="shared" si="56"/>
        <v>1.3831775024794055</v>
      </c>
      <c r="F52" s="33">
        <f t="shared" si="56"/>
        <v>1.5637367168661029</v>
      </c>
      <c r="G52" s="33">
        <f t="shared" si="56"/>
        <v>1.5787576834879999</v>
      </c>
      <c r="H52" s="33">
        <f t="shared" si="56"/>
        <v>1.6014093733840014</v>
      </c>
      <c r="I52" s="33">
        <f t="shared" si="56"/>
        <v>1.5096196035539009</v>
      </c>
      <c r="J52" s="33">
        <f t="shared" si="56"/>
        <v>1.3192390598100019</v>
      </c>
      <c r="K52" s="33">
        <f t="shared" si="56"/>
        <v>1.2907309074314028</v>
      </c>
      <c r="L52" s="33">
        <f t="shared" si="56"/>
        <v>1.2907299074314054</v>
      </c>
      <c r="M52" s="33">
        <f t="shared" si="56"/>
        <v>1.2043914315772</v>
      </c>
      <c r="N52" s="33">
        <f t="shared" si="56"/>
        <v>1.1777363402223031</v>
      </c>
      <c r="O52" s="33">
        <f t="shared" si="56"/>
        <v>1.1749943069240061</v>
      </c>
      <c r="P52" s="33">
        <f t="shared" si="56"/>
        <v>1.0174809200001036</v>
      </c>
      <c r="Q52" s="33">
        <f t="shared" si="56"/>
        <v>0.95332754450260637</v>
      </c>
      <c r="R52" s="33">
        <f t="shared" si="56"/>
        <v>0.90184325237750329</v>
      </c>
      <c r="S52" s="33">
        <f t="shared" si="56"/>
        <v>0.83848025829490069</v>
      </c>
      <c r="T52" s="33">
        <f t="shared" si="56"/>
        <v>0.83847925829490322</v>
      </c>
      <c r="U52" s="33">
        <f t="shared" si="56"/>
        <v>0.8003380038898058</v>
      </c>
      <c r="V52" s="33">
        <f t="shared" si="56"/>
        <v>0.7589349068450062</v>
      </c>
      <c r="W52" s="33">
        <f t="shared" si="56"/>
        <v>0.71830204994800084</v>
      </c>
      <c r="X52" s="33">
        <f t="shared" si="56"/>
        <v>0.67920226399340322</v>
      </c>
      <c r="Y52" s="33">
        <f t="shared" si="56"/>
        <v>0.63829589398060449</v>
      </c>
      <c r="Z52" s="33">
        <f t="shared" si="56"/>
        <v>0.59991363963960254</v>
      </c>
      <c r="AA52" s="33">
        <f t="shared" si="56"/>
        <v>0.50969550881420389</v>
      </c>
      <c r="AB52" s="33">
        <f t="shared" si="56"/>
        <v>0.48880699362600666</v>
      </c>
      <c r="AC52" s="33">
        <f t="shared" si="56"/>
        <v>0.48880599362600208</v>
      </c>
      <c r="AD52" s="57"/>
      <c r="AE52" s="47">
        <f>AE21-$AD$21</f>
        <v>0.52582505427920267</v>
      </c>
      <c r="AF52" s="47">
        <f t="shared" ref="AF52:AY52" si="57">AF21-$AD$21</f>
        <v>0.57177455963419987</v>
      </c>
      <c r="AG52" s="47">
        <f t="shared" si="57"/>
        <v>0.63862678984249754</v>
      </c>
      <c r="AH52" s="47">
        <f t="shared" si="57"/>
        <v>0.67619456820369805</v>
      </c>
      <c r="AI52" s="47">
        <f t="shared" si="57"/>
        <v>0.63153173878330193</v>
      </c>
      <c r="AJ52" s="47">
        <f t="shared" si="57"/>
        <v>0.60429776160759729</v>
      </c>
      <c r="AK52" s="47">
        <f t="shared" si="57"/>
        <v>0.46140256853170314</v>
      </c>
      <c r="AL52" s="47">
        <f t="shared" si="57"/>
        <v>0.40282243297669851</v>
      </c>
      <c r="AM52" s="47">
        <f t="shared" si="57"/>
        <v>0.28775975613660165</v>
      </c>
      <c r="AN52" s="47">
        <f t="shared" si="57"/>
        <v>0.28775875613659707</v>
      </c>
      <c r="AO52" s="47">
        <f t="shared" si="57"/>
        <v>0.2877577561365996</v>
      </c>
      <c r="AP52" s="47">
        <f t="shared" si="57"/>
        <v>0.23874206777180262</v>
      </c>
      <c r="AQ52" s="47">
        <f t="shared" si="57"/>
        <v>5.0676788635399816E-2</v>
      </c>
      <c r="AR52" s="47">
        <f t="shared" si="57"/>
        <v>-0.12149033327040115</v>
      </c>
      <c r="AS52" s="47">
        <f t="shared" si="57"/>
        <v>-0.22332111049470171</v>
      </c>
      <c r="AT52" s="47">
        <f t="shared" si="57"/>
        <v>-0.3105869874955971</v>
      </c>
      <c r="AU52" s="47">
        <f t="shared" si="57"/>
        <v>-0.35969631023880311</v>
      </c>
      <c r="AV52" s="47">
        <f t="shared" si="57"/>
        <v>-0.51552004476540247</v>
      </c>
      <c r="AW52" s="47">
        <f t="shared" si="57"/>
        <v>-0.65318008800870331</v>
      </c>
      <c r="AX52" s="47">
        <f t="shared" si="57"/>
        <v>-0.79324547706149673</v>
      </c>
      <c r="AY52" s="47">
        <f t="shared" si="57"/>
        <v>-0.79324647706150131</v>
      </c>
      <c r="AZ52" s="47">
        <f t="shared" ref="AZ52:BC52" si="58">AZ21-$AD$21</f>
        <v>-0.81214995788700151</v>
      </c>
      <c r="BA52" s="47">
        <f t="shared" si="58"/>
        <v>-0.88979578260109804</v>
      </c>
      <c r="BB52" s="47">
        <f t="shared" si="58"/>
        <v>-0.88979678260110262</v>
      </c>
      <c r="BC52" s="47">
        <f t="shared" si="58"/>
        <v>-0.8897977826011001</v>
      </c>
    </row>
    <row r="53" spans="1:55" x14ac:dyDescent="0.3">
      <c r="A53">
        <v>17</v>
      </c>
      <c r="B53" s="30">
        <v>37.229999999999997</v>
      </c>
      <c r="C53" s="32">
        <v>18</v>
      </c>
      <c r="D53" s="33">
        <f t="shared" ref="D53:AC53" si="59">D22-$B$22</f>
        <v>1.2251388738121989</v>
      </c>
      <c r="E53" s="33">
        <f t="shared" si="59"/>
        <v>1.3531510758309011</v>
      </c>
      <c r="F53" s="33">
        <f t="shared" si="59"/>
        <v>1.5251715322812984</v>
      </c>
      <c r="G53" s="33">
        <f t="shared" si="59"/>
        <v>1.5334252619003976</v>
      </c>
      <c r="H53" s="33">
        <f t="shared" si="59"/>
        <v>1.5536770492252003</v>
      </c>
      <c r="I53" s="33">
        <f t="shared" si="59"/>
        <v>1.4743870686626011</v>
      </c>
      <c r="J53" s="33">
        <f t="shared" si="59"/>
        <v>1.2837622587232005</v>
      </c>
      <c r="K53" s="33">
        <f t="shared" si="59"/>
        <v>1.2651979156496012</v>
      </c>
      <c r="L53" s="33">
        <f t="shared" si="59"/>
        <v>1.2651969156495966</v>
      </c>
      <c r="M53" s="33">
        <f t="shared" si="59"/>
        <v>1.1969344952843954</v>
      </c>
      <c r="N53" s="33">
        <f t="shared" si="59"/>
        <v>1.178322036931398</v>
      </c>
      <c r="O53" s="33">
        <f t="shared" si="59"/>
        <v>1.1783210369314006</v>
      </c>
      <c r="P53" s="33">
        <f t="shared" si="59"/>
        <v>1.0415804123971952</v>
      </c>
      <c r="Q53" s="33">
        <f t="shared" si="59"/>
        <v>0.97857103748639673</v>
      </c>
      <c r="R53" s="33">
        <f t="shared" si="59"/>
        <v>0.92828992269240018</v>
      </c>
      <c r="S53" s="33">
        <f t="shared" si="59"/>
        <v>0.8670485257023941</v>
      </c>
      <c r="T53" s="33">
        <f t="shared" si="59"/>
        <v>0.86704752570239663</v>
      </c>
      <c r="U53" s="33">
        <f t="shared" si="59"/>
        <v>0.82877932267290078</v>
      </c>
      <c r="V53" s="33">
        <f t="shared" si="59"/>
        <v>0.78939389473989507</v>
      </c>
      <c r="W53" s="33">
        <f t="shared" si="59"/>
        <v>0.74896583357379853</v>
      </c>
      <c r="X53" s="33">
        <f t="shared" si="59"/>
        <v>0.70953242133469985</v>
      </c>
      <c r="Y53" s="33">
        <f t="shared" si="59"/>
        <v>0.6710862532238977</v>
      </c>
      <c r="Z53" s="33">
        <f t="shared" si="59"/>
        <v>0.63173567914439843</v>
      </c>
      <c r="AA53" s="33">
        <f t="shared" si="59"/>
        <v>0.54157005375989797</v>
      </c>
      <c r="AB53" s="33">
        <f t="shared" si="59"/>
        <v>0.52212510441889748</v>
      </c>
      <c r="AC53" s="33">
        <f t="shared" si="59"/>
        <v>0.5221241044189</v>
      </c>
      <c r="AD53" s="57"/>
      <c r="AE53" s="47">
        <f>AE22-$AD$22</f>
        <v>0.54641997135190223</v>
      </c>
      <c r="AF53" s="47">
        <f t="shared" ref="AF53:AY53" si="60">AF22-$AD$22</f>
        <v>0.59250520256150452</v>
      </c>
      <c r="AG53" s="47">
        <f t="shared" si="60"/>
        <v>0.6679115875871986</v>
      </c>
      <c r="AH53" s="47">
        <f t="shared" si="60"/>
        <v>0.70833707189979833</v>
      </c>
      <c r="AI53" s="47">
        <f t="shared" si="60"/>
        <v>0.66216048613929956</v>
      </c>
      <c r="AJ53" s="47">
        <f t="shared" si="60"/>
        <v>0.63416302555250326</v>
      </c>
      <c r="AK53" s="47">
        <f t="shared" si="60"/>
        <v>0.48300059633330505</v>
      </c>
      <c r="AL53" s="47">
        <f t="shared" si="60"/>
        <v>0.42479691370500205</v>
      </c>
      <c r="AM53" s="47">
        <f t="shared" si="60"/>
        <v>0.30654001731710423</v>
      </c>
      <c r="AN53" s="47">
        <f t="shared" si="60"/>
        <v>0.30653901731709965</v>
      </c>
      <c r="AO53" s="47">
        <f t="shared" si="60"/>
        <v>0.30653801731710217</v>
      </c>
      <c r="AP53" s="47">
        <f t="shared" si="60"/>
        <v>0.25154145545110396</v>
      </c>
      <c r="AQ53" s="47">
        <f t="shared" si="60"/>
        <v>6.2244387903803045E-2</v>
      </c>
      <c r="AR53" s="47">
        <f t="shared" si="60"/>
        <v>-8.5309594864796168E-2</v>
      </c>
      <c r="AS53" s="47">
        <f t="shared" si="60"/>
        <v>-0.18717971260729627</v>
      </c>
      <c r="AT53" s="47">
        <f t="shared" si="60"/>
        <v>-0.27850306085339582</v>
      </c>
      <c r="AU53" s="47">
        <f t="shared" si="60"/>
        <v>-0.32716590527149947</v>
      </c>
      <c r="AV53" s="47">
        <f t="shared" si="60"/>
        <v>-0.47946344897179927</v>
      </c>
      <c r="AW53" s="47">
        <f t="shared" si="60"/>
        <v>-0.6297679652032997</v>
      </c>
      <c r="AX53" s="47">
        <f t="shared" si="60"/>
        <v>-0.76260868654799907</v>
      </c>
      <c r="AY53" s="47">
        <f t="shared" si="60"/>
        <v>-0.76260968654799655</v>
      </c>
      <c r="AZ53" s="47">
        <f t="shared" ref="AZ53:BC53" si="61">AZ22-$AD$22</f>
        <v>-0.78226705997330015</v>
      </c>
      <c r="BA53" s="47">
        <f t="shared" si="61"/>
        <v>-0.86293306410210135</v>
      </c>
      <c r="BB53" s="47">
        <f t="shared" si="61"/>
        <v>-0.86293406410209883</v>
      </c>
      <c r="BC53" s="47">
        <f t="shared" si="61"/>
        <v>-0.86293506410209631</v>
      </c>
    </row>
    <row r="54" spans="1:55" x14ac:dyDescent="0.3">
      <c r="A54">
        <v>18</v>
      </c>
      <c r="B54" s="30">
        <v>37.01</v>
      </c>
      <c r="C54" s="32">
        <v>19</v>
      </c>
      <c r="D54" s="33">
        <f t="shared" ref="D54:AC54" si="62">D23-$B$23</f>
        <v>1.2823065893526007</v>
      </c>
      <c r="E54" s="33">
        <f t="shared" si="62"/>
        <v>1.4123190717064986</v>
      </c>
      <c r="F54" s="33">
        <f t="shared" si="62"/>
        <v>1.5916534314988979</v>
      </c>
      <c r="G54" s="33">
        <f t="shared" si="62"/>
        <v>1.6057168712546002</v>
      </c>
      <c r="H54" s="33">
        <f t="shared" si="62"/>
        <v>1.627773205917002</v>
      </c>
      <c r="I54" s="33">
        <f t="shared" si="62"/>
        <v>1.549146834451399</v>
      </c>
      <c r="J54" s="33">
        <f t="shared" si="62"/>
        <v>1.363907486031998</v>
      </c>
      <c r="K54" s="33">
        <f t="shared" si="62"/>
        <v>1.3396435234909987</v>
      </c>
      <c r="L54" s="33">
        <f t="shared" si="62"/>
        <v>1.3396425234910012</v>
      </c>
      <c r="M54" s="33">
        <f t="shared" si="62"/>
        <v>1.2595748705401988</v>
      </c>
      <c r="N54" s="33">
        <f t="shared" si="62"/>
        <v>1.2355562425426001</v>
      </c>
      <c r="O54" s="33">
        <f t="shared" si="62"/>
        <v>1.2348375086891039</v>
      </c>
      <c r="P54" s="33">
        <f t="shared" si="62"/>
        <v>1.0923820501844048</v>
      </c>
      <c r="Q54" s="33">
        <f t="shared" si="62"/>
        <v>1.0305256443660014</v>
      </c>
      <c r="R54" s="33">
        <f t="shared" si="62"/>
        <v>0.98109080403540361</v>
      </c>
      <c r="S54" s="33">
        <f t="shared" si="62"/>
        <v>0.92223240972739973</v>
      </c>
      <c r="T54" s="33">
        <f t="shared" si="62"/>
        <v>0.92223140972740225</v>
      </c>
      <c r="U54" s="33">
        <f t="shared" si="62"/>
        <v>0.88101224527019895</v>
      </c>
      <c r="V54" s="33">
        <f t="shared" si="62"/>
        <v>0.84201244846229883</v>
      </c>
      <c r="W54" s="33">
        <f t="shared" si="62"/>
        <v>0.80302505032850036</v>
      </c>
      <c r="X54" s="33">
        <f t="shared" si="62"/>
        <v>0.76295709830780112</v>
      </c>
      <c r="Y54" s="33">
        <f t="shared" si="62"/>
        <v>0.72373788869690259</v>
      </c>
      <c r="Z54" s="33">
        <f t="shared" si="62"/>
        <v>0.68423639690320215</v>
      </c>
      <c r="AA54" s="33">
        <f t="shared" si="62"/>
        <v>0.5967094281529981</v>
      </c>
      <c r="AB54" s="33">
        <f t="shared" si="62"/>
        <v>0.57737271131300361</v>
      </c>
      <c r="AC54" s="33">
        <f t="shared" si="62"/>
        <v>0.57737171131299903</v>
      </c>
      <c r="AD54" s="57"/>
      <c r="AE54" s="47">
        <f>AE23-$AD$23</f>
        <v>0.505470835828703</v>
      </c>
      <c r="AF54" s="47">
        <f t="shared" ref="AF54:AY54" si="63">AF23-$AD$23</f>
        <v>0.53515037003640487</v>
      </c>
      <c r="AG54" s="47">
        <f t="shared" si="63"/>
        <v>0.59992090638410644</v>
      </c>
      <c r="AH54" s="47">
        <f t="shared" si="63"/>
        <v>0.6318128900977058</v>
      </c>
      <c r="AI54" s="47">
        <f t="shared" si="63"/>
        <v>0.58867626012120411</v>
      </c>
      <c r="AJ54" s="47">
        <f t="shared" si="63"/>
        <v>0.57222668521380626</v>
      </c>
      <c r="AK54" s="47">
        <f t="shared" si="63"/>
        <v>0.44574908646120548</v>
      </c>
      <c r="AL54" s="47">
        <f t="shared" si="63"/>
        <v>0.40380580788120568</v>
      </c>
      <c r="AM54" s="47">
        <f t="shared" si="63"/>
        <v>0.29986496418840147</v>
      </c>
      <c r="AN54" s="47">
        <f t="shared" si="63"/>
        <v>0.299863964188404</v>
      </c>
      <c r="AO54" s="47">
        <f t="shared" si="63"/>
        <v>0.29986296418840652</v>
      </c>
      <c r="AP54" s="47">
        <f t="shared" si="63"/>
        <v>0.27916871235750307</v>
      </c>
      <c r="AQ54" s="47">
        <f t="shared" si="63"/>
        <v>9.5356911548506673E-2</v>
      </c>
      <c r="AR54" s="47">
        <f t="shared" si="63"/>
        <v>-4.9984340084499479E-2</v>
      </c>
      <c r="AS54" s="47">
        <f t="shared" si="63"/>
        <v>-0.14796980690659467</v>
      </c>
      <c r="AT54" s="47">
        <f t="shared" si="63"/>
        <v>-0.23780189500489968</v>
      </c>
      <c r="AU54" s="47">
        <f t="shared" si="63"/>
        <v>-0.28702150795889736</v>
      </c>
      <c r="AV54" s="47">
        <f t="shared" si="63"/>
        <v>-0.43568071178849976</v>
      </c>
      <c r="AW54" s="47">
        <f t="shared" si="63"/>
        <v>-0.57217398930619368</v>
      </c>
      <c r="AX54" s="47">
        <f t="shared" si="63"/>
        <v>-0.71278253478189413</v>
      </c>
      <c r="AY54" s="47">
        <f t="shared" si="63"/>
        <v>-0.71278353478189871</v>
      </c>
      <c r="AZ54" s="47">
        <f t="shared" ref="AZ54:BC54" si="64">AZ23-$AD$23</f>
        <v>-0.73190319237910018</v>
      </c>
      <c r="BA54" s="47">
        <f t="shared" si="64"/>
        <v>-0.81063805940119948</v>
      </c>
      <c r="BB54" s="47">
        <f t="shared" si="64"/>
        <v>-0.81063905940119696</v>
      </c>
      <c r="BC54" s="47">
        <f t="shared" si="64"/>
        <v>-0.81064005940119443</v>
      </c>
    </row>
    <row r="55" spans="1:55" x14ac:dyDescent="0.3">
      <c r="A55">
        <v>19</v>
      </c>
      <c r="B55" s="30">
        <v>37.46</v>
      </c>
      <c r="C55" s="32">
        <v>20</v>
      </c>
      <c r="D55" s="33">
        <f t="shared" ref="D55:AC55" si="65">D24-$B$24</f>
        <v>1.3048263229190979</v>
      </c>
      <c r="E55" s="33">
        <f t="shared" si="65"/>
        <v>1.408071096291998</v>
      </c>
      <c r="F55" s="33">
        <f t="shared" si="65"/>
        <v>1.5645290753721</v>
      </c>
      <c r="G55" s="33">
        <f t="shared" si="65"/>
        <v>1.5645300753720974</v>
      </c>
      <c r="H55" s="33">
        <f t="shared" si="65"/>
        <v>1.5691004704655001</v>
      </c>
      <c r="I55" s="33">
        <f t="shared" si="65"/>
        <v>1.5001848663111943</v>
      </c>
      <c r="J55" s="33">
        <f t="shared" si="65"/>
        <v>1.3082800617115993</v>
      </c>
      <c r="K55" s="33">
        <f t="shared" si="65"/>
        <v>1.3082790617115947</v>
      </c>
      <c r="L55" s="33">
        <f t="shared" si="65"/>
        <v>1.3082780617115972</v>
      </c>
      <c r="M55" s="33">
        <f t="shared" si="65"/>
        <v>1.3079636235011947</v>
      </c>
      <c r="N55" s="33">
        <f t="shared" si="65"/>
        <v>1.3079626235011972</v>
      </c>
      <c r="O55" s="33">
        <f t="shared" si="65"/>
        <v>1.3079616235011997</v>
      </c>
      <c r="P55" s="33">
        <f t="shared" si="65"/>
        <v>1.2085433848004996</v>
      </c>
      <c r="Q55" s="33">
        <f t="shared" si="65"/>
        <v>1.1499985960109953</v>
      </c>
      <c r="R55" s="33">
        <f t="shared" si="65"/>
        <v>1.1046852444241964</v>
      </c>
      <c r="S55" s="33">
        <f t="shared" si="65"/>
        <v>1.0470932817051946</v>
      </c>
      <c r="T55" s="33">
        <f t="shared" si="65"/>
        <v>1.0470922817052966</v>
      </c>
      <c r="U55" s="33">
        <f t="shared" si="65"/>
        <v>1.0102991565408956</v>
      </c>
      <c r="V55" s="33">
        <f t="shared" si="65"/>
        <v>0.97311128535909575</v>
      </c>
      <c r="W55" s="33">
        <f t="shared" si="65"/>
        <v>0.93416887133189874</v>
      </c>
      <c r="X55" s="33">
        <f t="shared" si="65"/>
        <v>0.89371715428559639</v>
      </c>
      <c r="Y55" s="33">
        <f t="shared" si="65"/>
        <v>0.8506025639927941</v>
      </c>
      <c r="Z55" s="33">
        <f t="shared" si="65"/>
        <v>0.81182762395889796</v>
      </c>
      <c r="AA55" s="33">
        <f t="shared" si="65"/>
        <v>0.72335640120120104</v>
      </c>
      <c r="AB55" s="33">
        <f t="shared" si="65"/>
        <v>0.70277222325799471</v>
      </c>
      <c r="AC55" s="33">
        <f t="shared" si="65"/>
        <v>0.70277122325799724</v>
      </c>
      <c r="AD55" s="57"/>
      <c r="AE55" s="47">
        <f>AE24-$AD$24</f>
        <v>0.49107271691740095</v>
      </c>
      <c r="AF55" s="47">
        <f t="shared" ref="AF55:AY55" si="66">AF24-$AD$24</f>
        <v>0.5132277539559027</v>
      </c>
      <c r="AG55" s="47">
        <f t="shared" si="66"/>
        <v>0.56467855854929638</v>
      </c>
      <c r="AH55" s="47">
        <f t="shared" si="66"/>
        <v>0.59459391700839603</v>
      </c>
      <c r="AI55" s="47">
        <f t="shared" si="66"/>
        <v>0.55396004154120249</v>
      </c>
      <c r="AJ55" s="47">
        <f t="shared" si="66"/>
        <v>0.54357985741229697</v>
      </c>
      <c r="AK55" s="47">
        <f t="shared" si="66"/>
        <v>0.4264918568230982</v>
      </c>
      <c r="AL55" s="47">
        <f t="shared" si="66"/>
        <v>0.39450662117410218</v>
      </c>
      <c r="AM55" s="47">
        <f t="shared" si="66"/>
        <v>0.29819988938950104</v>
      </c>
      <c r="AN55" s="47">
        <f t="shared" si="66"/>
        <v>0.29819888938949646</v>
      </c>
      <c r="AO55" s="47">
        <f t="shared" si="66"/>
        <v>0.29819788938949898</v>
      </c>
      <c r="AP55" s="47">
        <f t="shared" si="66"/>
        <v>0.29407012056280024</v>
      </c>
      <c r="AQ55" s="47">
        <f t="shared" si="66"/>
        <v>0.10654973322120043</v>
      </c>
      <c r="AR55" s="47">
        <f t="shared" si="66"/>
        <v>-4.3430914624202899E-2</v>
      </c>
      <c r="AS55" s="47">
        <f t="shared" si="66"/>
        <v>-0.14566870545920096</v>
      </c>
      <c r="AT55" s="47">
        <f t="shared" si="66"/>
        <v>-0.23213347193750167</v>
      </c>
      <c r="AU55" s="47">
        <f t="shared" si="66"/>
        <v>-0.28261924852870379</v>
      </c>
      <c r="AV55" s="47">
        <f t="shared" si="66"/>
        <v>-0.42815919641080313</v>
      </c>
      <c r="AW55" s="47">
        <f t="shared" si="66"/>
        <v>-0.56857274868109897</v>
      </c>
      <c r="AX55" s="47">
        <f t="shared" si="66"/>
        <v>-0.71281110202600217</v>
      </c>
      <c r="AY55" s="47">
        <f t="shared" si="66"/>
        <v>-0.71281210202599965</v>
      </c>
      <c r="AZ55" s="47">
        <f t="shared" ref="AZ55:BC55" si="67">AZ24-$AD$24</f>
        <v>-0.7319543009907008</v>
      </c>
      <c r="BA55" s="47">
        <f t="shared" si="67"/>
        <v>-0.81000960414579737</v>
      </c>
      <c r="BB55" s="47">
        <f t="shared" si="67"/>
        <v>-0.81001060414580195</v>
      </c>
      <c r="BC55" s="47">
        <f t="shared" si="67"/>
        <v>-0.81001160414579942</v>
      </c>
    </row>
    <row r="56" spans="1:55" x14ac:dyDescent="0.3">
      <c r="A56">
        <v>20</v>
      </c>
      <c r="B56" s="30">
        <v>36.65</v>
      </c>
      <c r="C56" s="43">
        <v>21</v>
      </c>
      <c r="D56" s="33">
        <f t="shared" ref="D56:AC56" si="68">D25-$B$25</f>
        <v>1.1715359559953029</v>
      </c>
      <c r="E56" s="33">
        <f t="shared" si="68"/>
        <v>1.3217136506098015</v>
      </c>
      <c r="F56" s="33">
        <f t="shared" si="68"/>
        <v>1.5339729645227038</v>
      </c>
      <c r="G56" s="33">
        <f t="shared" si="68"/>
        <v>1.5602868127402019</v>
      </c>
      <c r="H56" s="33">
        <f t="shared" si="68"/>
        <v>1.5873282520784997</v>
      </c>
      <c r="I56" s="33">
        <f t="shared" si="68"/>
        <v>1.4938286777491996</v>
      </c>
      <c r="J56" s="33">
        <f t="shared" si="68"/>
        <v>1.2617260685701979</v>
      </c>
      <c r="K56" s="33">
        <f t="shared" si="68"/>
        <v>1.2194466694323012</v>
      </c>
      <c r="L56" s="33">
        <f t="shared" si="68"/>
        <v>1.2194456694323037</v>
      </c>
      <c r="M56" s="33">
        <f t="shared" si="68"/>
        <v>1.0958069677153972</v>
      </c>
      <c r="N56" s="33">
        <f t="shared" si="68"/>
        <v>1.0540418216548986</v>
      </c>
      <c r="O56" s="33">
        <f t="shared" si="68"/>
        <v>1.0396508952156012</v>
      </c>
      <c r="P56" s="33">
        <f t="shared" si="68"/>
        <v>0.8726155109223015</v>
      </c>
      <c r="Q56" s="33">
        <f t="shared" si="68"/>
        <v>0.8023284178918999</v>
      </c>
      <c r="R56" s="33">
        <f t="shared" si="68"/>
        <v>0.74821944559270293</v>
      </c>
      <c r="S56" s="33">
        <f t="shared" si="68"/>
        <v>0.68690774140979727</v>
      </c>
      <c r="T56" s="33">
        <f t="shared" si="68"/>
        <v>0.68690674140979979</v>
      </c>
      <c r="U56" s="33">
        <f t="shared" si="68"/>
        <v>0.63554978972970133</v>
      </c>
      <c r="V56" s="33">
        <f t="shared" si="68"/>
        <v>0.59327390269039881</v>
      </c>
      <c r="W56" s="33">
        <f t="shared" si="68"/>
        <v>0.55481063098829964</v>
      </c>
      <c r="X56" s="33">
        <f t="shared" si="68"/>
        <v>0.51444186007019965</v>
      </c>
      <c r="Y56" s="33">
        <f t="shared" si="68"/>
        <v>0.47223451228430235</v>
      </c>
      <c r="Z56" s="33">
        <f t="shared" si="68"/>
        <v>0.43352021309190292</v>
      </c>
      <c r="AA56" s="33">
        <f t="shared" si="68"/>
        <v>0.34477396679130123</v>
      </c>
      <c r="AB56" s="33">
        <f t="shared" si="68"/>
        <v>0.32539414428359947</v>
      </c>
      <c r="AC56" s="33">
        <f t="shared" si="68"/>
        <v>0.325393144283602</v>
      </c>
      <c r="AD56" s="57"/>
      <c r="AE56" s="47">
        <f>AE25-$AD$25</f>
        <v>0.48981234725210498</v>
      </c>
      <c r="AF56" s="47">
        <f t="shared" ref="AF56:AY56" si="69">AF25-$AD$25</f>
        <v>0.51554855410970646</v>
      </c>
      <c r="AG56" s="47">
        <f t="shared" si="69"/>
        <v>0.57178226709190483</v>
      </c>
      <c r="AH56" s="47">
        <f t="shared" si="69"/>
        <v>0.60601498880960492</v>
      </c>
      <c r="AI56" s="47">
        <f t="shared" si="69"/>
        <v>0.56311786997220281</v>
      </c>
      <c r="AJ56" s="47">
        <f t="shared" si="69"/>
        <v>0.54980205411940375</v>
      </c>
      <c r="AK56" s="47">
        <f t="shared" si="69"/>
        <v>0.42828819537230345</v>
      </c>
      <c r="AL56" s="47">
        <f t="shared" si="69"/>
        <v>0.39246810884480254</v>
      </c>
      <c r="AM56" s="47">
        <f t="shared" si="69"/>
        <v>0.29659747257880298</v>
      </c>
      <c r="AN56" s="47">
        <f t="shared" si="69"/>
        <v>0.2965964725788055</v>
      </c>
      <c r="AO56" s="47">
        <f t="shared" si="69"/>
        <v>0.2965954725789004</v>
      </c>
      <c r="AP56" s="47">
        <f t="shared" si="69"/>
        <v>0.28137186404210013</v>
      </c>
      <c r="AQ56" s="47">
        <f t="shared" si="69"/>
        <v>9.5185007892403917E-2</v>
      </c>
      <c r="AR56" s="47">
        <f t="shared" si="69"/>
        <v>-4.976702747879358E-2</v>
      </c>
      <c r="AS56" s="47">
        <f t="shared" si="69"/>
        <v>-0.1473119030908947</v>
      </c>
      <c r="AT56" s="47">
        <f t="shared" si="69"/>
        <v>-0.24039537720689452</v>
      </c>
      <c r="AU56" s="47">
        <f t="shared" si="69"/>
        <v>-0.29006333966659525</v>
      </c>
      <c r="AV56" s="47">
        <f t="shared" si="69"/>
        <v>-0.43713205453889969</v>
      </c>
      <c r="AW56" s="47">
        <f t="shared" si="69"/>
        <v>-0.57349577546149533</v>
      </c>
      <c r="AX56" s="47">
        <f t="shared" si="69"/>
        <v>-0.70895965509659931</v>
      </c>
      <c r="AY56" s="47">
        <f t="shared" si="69"/>
        <v>-0.70896065509659678</v>
      </c>
      <c r="AZ56" s="47">
        <f t="shared" ref="AZ56:BC56" si="70">AZ25-$AD$25</f>
        <v>-0.7283576477952991</v>
      </c>
      <c r="BA56" s="47">
        <f t="shared" si="70"/>
        <v>-0.80711284122909888</v>
      </c>
      <c r="BB56" s="47">
        <f t="shared" si="70"/>
        <v>-0.80711384122909635</v>
      </c>
      <c r="BC56" s="47">
        <f t="shared" si="70"/>
        <v>-0.80711484122909383</v>
      </c>
    </row>
    <row r="57" spans="1:55" x14ac:dyDescent="0.3">
      <c r="A57">
        <v>21</v>
      </c>
      <c r="B57" s="30">
        <v>37.450000000000003</v>
      </c>
      <c r="C57" s="40" t="s">
        <v>35</v>
      </c>
      <c r="D57" s="41">
        <f t="shared" ref="D57:AY57" si="71">AVERAGE(D36:D56)</f>
        <v>1.269999999999996</v>
      </c>
      <c r="E57" s="41">
        <f t="shared" si="71"/>
        <v>1.400000000000001</v>
      </c>
      <c r="F57" s="41">
        <f t="shared" si="71"/>
        <v>1.5800000000000149</v>
      </c>
      <c r="G57" s="41">
        <f t="shared" si="71"/>
        <v>1.5901855362521384</v>
      </c>
      <c r="H57" s="41">
        <f t="shared" si="71"/>
        <v>1.6100000000000059</v>
      </c>
      <c r="I57" s="41">
        <f t="shared" si="71"/>
        <v>1.5563622074453818</v>
      </c>
      <c r="J57" s="41">
        <f t="shared" si="71"/>
        <v>1.3400000000000007</v>
      </c>
      <c r="K57" s="41">
        <f t="shared" si="71"/>
        <v>1.319845695073691</v>
      </c>
      <c r="L57" s="41">
        <f t="shared" si="71"/>
        <v>1.3198446950736962</v>
      </c>
      <c r="M57" s="41">
        <f t="shared" si="71"/>
        <v>1.2499913228733146</v>
      </c>
      <c r="N57" s="41">
        <f t="shared" si="71"/>
        <v>1.2298547643017814</v>
      </c>
      <c r="O57" s="41">
        <f t="shared" si="71"/>
        <v>1.2271528411935919</v>
      </c>
      <c r="P57" s="41">
        <f t="shared" si="71"/>
        <v>1.089999999999991</v>
      </c>
      <c r="Q57" s="41">
        <f t="shared" si="71"/>
        <v>1.0299999999999858</v>
      </c>
      <c r="R57" s="41">
        <f t="shared" si="71"/>
        <v>0.98000000000000975</v>
      </c>
      <c r="S57" s="41">
        <f t="shared" si="71"/>
        <v>0.9199999999999946</v>
      </c>
      <c r="T57" s="41">
        <f t="shared" si="71"/>
        <v>0.91999900000000046</v>
      </c>
      <c r="U57" s="41">
        <f t="shared" si="71"/>
        <v>0.88000000000000156</v>
      </c>
      <c r="V57" s="41">
        <f t="shared" si="71"/>
        <v>0.83999999999999531</v>
      </c>
      <c r="W57" s="41">
        <f t="shared" si="71"/>
        <v>0.79999999999999172</v>
      </c>
      <c r="X57" s="41">
        <f t="shared" si="71"/>
        <v>0.75999999999999568</v>
      </c>
      <c r="Y57" s="41">
        <f t="shared" si="71"/>
        <v>0.71999999999998665</v>
      </c>
      <c r="Z57" s="41">
        <f t="shared" si="71"/>
        <v>0.68000000000001015</v>
      </c>
      <c r="AA57" s="41">
        <f t="shared" si="71"/>
        <v>0.59000000000000075</v>
      </c>
      <c r="AB57" s="41">
        <f t="shared" si="71"/>
        <v>0.57000000000000062</v>
      </c>
      <c r="AC57" s="41">
        <f t="shared" si="71"/>
        <v>0.56999900000000081</v>
      </c>
      <c r="AD57" s="57"/>
      <c r="AE57" s="46">
        <f t="shared" si="71"/>
        <v>0.50438147399178157</v>
      </c>
      <c r="AF57" s="46">
        <f t="shared" si="71"/>
        <v>0.52389301606228211</v>
      </c>
      <c r="AG57" s="46">
        <f t="shared" si="71"/>
        <v>0.57346335462346598</v>
      </c>
      <c r="AH57" s="46">
        <f t="shared" si="71"/>
        <v>0.60341667000001864</v>
      </c>
      <c r="AI57" s="46">
        <f t="shared" si="71"/>
        <v>0.56341667000000062</v>
      </c>
      <c r="AJ57" s="46">
        <f t="shared" si="71"/>
        <v>0.55327650166769005</v>
      </c>
      <c r="AK57" s="46">
        <f t="shared" si="71"/>
        <v>0.43341667000001022</v>
      </c>
      <c r="AL57" s="46">
        <f t="shared" si="71"/>
        <v>0.4033996256990533</v>
      </c>
      <c r="AM57" s="46">
        <f t="shared" si="71"/>
        <v>0.31341667000000534</v>
      </c>
      <c r="AN57" s="46">
        <f t="shared" si="71"/>
        <v>0.31341567000000953</v>
      </c>
      <c r="AO57" s="46">
        <f t="shared" si="71"/>
        <v>0.31341467000001544</v>
      </c>
      <c r="AP57" s="46">
        <f t="shared" si="71"/>
        <v>0.30012982662134863</v>
      </c>
      <c r="AQ57" s="46">
        <f t="shared" si="71"/>
        <v>0.12341667000000524</v>
      </c>
      <c r="AR57" s="46">
        <f t="shared" si="71"/>
        <v>-2.6583329999980827E-2</v>
      </c>
      <c r="AS57" s="46">
        <f t="shared" si="71"/>
        <v>-0.12658332999998495</v>
      </c>
      <c r="AT57" s="46">
        <f t="shared" si="71"/>
        <v>-0.21658332999998497</v>
      </c>
      <c r="AU57" s="46">
        <f t="shared" si="71"/>
        <v>-0.2665833299999808</v>
      </c>
      <c r="AV57" s="46">
        <f t="shared" si="71"/>
        <v>-0.41658332999997194</v>
      </c>
      <c r="AW57" s="46">
        <f t="shared" si="71"/>
        <v>-0.5565833299999664</v>
      </c>
      <c r="AX57" s="46">
        <f t="shared" si="71"/>
        <v>-0.69658332999999473</v>
      </c>
      <c r="AY57" s="46">
        <f t="shared" si="71"/>
        <v>-0.6965843299999942</v>
      </c>
      <c r="AZ57" s="46">
        <f t="shared" ref="AZ57:BC57" si="72">AVERAGE(AZ36:AZ56)</f>
        <v>-0.71658332999999508</v>
      </c>
      <c r="BA57" s="46">
        <f t="shared" si="72"/>
        <v>-0.79658332999998493</v>
      </c>
      <c r="BB57" s="46">
        <f t="shared" si="72"/>
        <v>-0.79658432999998552</v>
      </c>
      <c r="BC57" s="46">
        <f t="shared" si="72"/>
        <v>-0.79658532999998466</v>
      </c>
    </row>
    <row r="58" spans="1:55" x14ac:dyDescent="0.3">
      <c r="A58" s="27"/>
      <c r="C58" s="42" t="s">
        <v>15</v>
      </c>
      <c r="D58" s="41">
        <f t="shared" ref="D58:AY58" si="73">_xlfn.STDEV.S(D36:D57)</f>
        <v>4.2832211571491599E-2</v>
      </c>
      <c r="E58" s="41">
        <f t="shared" si="73"/>
        <v>3.8746018747826842E-2</v>
      </c>
      <c r="F58" s="41">
        <f t="shared" si="73"/>
        <v>3.8107188426089761E-2</v>
      </c>
      <c r="G58" s="41">
        <f t="shared" si="73"/>
        <v>4.0192312073698888E-2</v>
      </c>
      <c r="H58" s="41">
        <f t="shared" si="73"/>
        <v>4.3395450891474507E-2</v>
      </c>
      <c r="I58" s="41">
        <f t="shared" si="73"/>
        <v>6.6111983894817053E-2</v>
      </c>
      <c r="J58" s="41">
        <f t="shared" si="73"/>
        <v>4.2694439435064797E-2</v>
      </c>
      <c r="K58" s="41">
        <f t="shared" si="73"/>
        <v>4.2333114879884615E-2</v>
      </c>
      <c r="L58" s="41">
        <f t="shared" si="73"/>
        <v>4.2333114879888209E-2</v>
      </c>
      <c r="M58" s="41">
        <f t="shared" si="73"/>
        <v>5.8533300716488587E-2</v>
      </c>
      <c r="N58" s="41">
        <f t="shared" si="73"/>
        <v>6.7993875504667387E-2</v>
      </c>
      <c r="O58" s="41">
        <f t="shared" si="73"/>
        <v>7.1362053563516381E-2</v>
      </c>
      <c r="P58" s="41">
        <f t="shared" si="73"/>
        <v>8.6138905986814437E-2</v>
      </c>
      <c r="Q58" s="41">
        <f t="shared" si="73"/>
        <v>9.0723392670943842E-2</v>
      </c>
      <c r="R58" s="41">
        <f t="shared" si="73"/>
        <v>9.3177696182373718E-2</v>
      </c>
      <c r="S58" s="41">
        <f t="shared" si="73"/>
        <v>9.4859774192526239E-2</v>
      </c>
      <c r="T58" s="41">
        <f t="shared" si="73"/>
        <v>9.4859774192532484E-2</v>
      </c>
      <c r="U58" s="41">
        <f t="shared" si="73"/>
        <v>9.6825806967644298E-2</v>
      </c>
      <c r="V58" s="41">
        <f t="shared" si="73"/>
        <v>9.691036400443076E-2</v>
      </c>
      <c r="W58" s="41">
        <f t="shared" si="73"/>
        <v>9.7108071590218878E-2</v>
      </c>
      <c r="X58" s="41">
        <f t="shared" si="73"/>
        <v>9.7144105450692284E-2</v>
      </c>
      <c r="Y58" s="41">
        <f t="shared" si="73"/>
        <v>9.715146282516389E-2</v>
      </c>
      <c r="Z58" s="41">
        <f t="shared" si="73"/>
        <v>9.7200470470925962E-2</v>
      </c>
      <c r="AA58" s="41">
        <f t="shared" si="73"/>
        <v>9.7032418525031208E-2</v>
      </c>
      <c r="AB58" s="41">
        <f t="shared" si="73"/>
        <v>9.6922331341708703E-2</v>
      </c>
      <c r="AC58" s="41">
        <f t="shared" si="73"/>
        <v>9.6922331341708481E-2</v>
      </c>
      <c r="AD58" s="57"/>
      <c r="AE58" s="46">
        <f t="shared" si="73"/>
        <v>2.2529427908788018E-2</v>
      </c>
      <c r="AF58" s="46">
        <f t="shared" si="73"/>
        <v>3.335675441312666E-2</v>
      </c>
      <c r="AG58" s="46">
        <f t="shared" si="73"/>
        <v>4.6446375250130519E-2</v>
      </c>
      <c r="AH58" s="46">
        <f t="shared" si="73"/>
        <v>5.2292513424269167E-2</v>
      </c>
      <c r="AI58" s="46">
        <f t="shared" si="73"/>
        <v>4.854301226582567E-2</v>
      </c>
      <c r="AJ58" s="46">
        <f t="shared" si="73"/>
        <v>4.0385217685608425E-2</v>
      </c>
      <c r="AK58" s="46">
        <f t="shared" si="73"/>
        <v>2.4929774217490139E-2</v>
      </c>
      <c r="AL58" s="46">
        <f t="shared" si="73"/>
        <v>1.6745851325104026E-2</v>
      </c>
      <c r="AM58" s="46">
        <f t="shared" si="73"/>
        <v>2.1254597641640331E-2</v>
      </c>
      <c r="AN58" s="46">
        <f t="shared" si="73"/>
        <v>2.1254597641642514E-2</v>
      </c>
      <c r="AO58" s="46">
        <f t="shared" si="73"/>
        <v>2.1254597641639034E-2</v>
      </c>
      <c r="AP58" s="46">
        <f t="shared" si="73"/>
        <v>3.4640962197421625E-2</v>
      </c>
      <c r="AQ58" s="46">
        <f t="shared" si="73"/>
        <v>4.8777616651394656E-2</v>
      </c>
      <c r="AR58" s="46">
        <f t="shared" si="73"/>
        <v>5.0670328487452593E-2</v>
      </c>
      <c r="AS58" s="46">
        <f t="shared" si="73"/>
        <v>5.1184319682883055E-2</v>
      </c>
      <c r="AT58" s="46">
        <f t="shared" si="73"/>
        <v>5.1387905640043696E-2</v>
      </c>
      <c r="AU58" s="46">
        <f t="shared" si="73"/>
        <v>5.1735769869319617E-2</v>
      </c>
      <c r="AV58" s="46">
        <f t="shared" si="73"/>
        <v>5.2153718068336609E-2</v>
      </c>
      <c r="AW58" s="46">
        <f t="shared" si="73"/>
        <v>5.2414373417611362E-2</v>
      </c>
      <c r="AX58" s="46">
        <f t="shared" si="73"/>
        <v>5.2987943197358785E-2</v>
      </c>
      <c r="AY58" s="46">
        <f t="shared" si="73"/>
        <v>5.2987943197358979E-2</v>
      </c>
      <c r="AZ58" s="46">
        <f t="shared" ref="AZ58:BC58" si="74">_xlfn.STDEV.S(AZ36:AZ57)</f>
        <v>5.3124918862276022E-2</v>
      </c>
      <c r="BA58" s="46">
        <f t="shared" si="74"/>
        <v>5.3484920405219162E-2</v>
      </c>
      <c r="BB58" s="46">
        <f t="shared" si="74"/>
        <v>5.3484920405219606E-2</v>
      </c>
      <c r="BC58" s="46">
        <f t="shared" si="74"/>
        <v>5.3484920405219336E-2</v>
      </c>
    </row>
    <row r="59" spans="1:55" x14ac:dyDescent="0.3">
      <c r="A59" s="27"/>
      <c r="B59" s="28"/>
      <c r="C59" s="44" t="s">
        <v>27</v>
      </c>
      <c r="D59" s="33">
        <f t="shared" ref="D59:AY59" si="75">MEDIAN(D36:D58)</f>
        <v>1.2773397841825016</v>
      </c>
      <c r="E59" s="33">
        <f t="shared" si="75"/>
        <v>1.408071096291998</v>
      </c>
      <c r="F59" s="33">
        <f t="shared" si="75"/>
        <v>1.5800000000000149</v>
      </c>
      <c r="G59" s="33">
        <f t="shared" si="75"/>
        <v>1.5846012935853011</v>
      </c>
      <c r="H59" s="33">
        <f t="shared" si="75"/>
        <v>1.6014093733840014</v>
      </c>
      <c r="I59" s="33">
        <f t="shared" si="75"/>
        <v>1.549146834451399</v>
      </c>
      <c r="J59" s="33">
        <f t="shared" si="75"/>
        <v>1.3400000000000007</v>
      </c>
      <c r="K59" s="33">
        <f t="shared" si="75"/>
        <v>1.319845695073691</v>
      </c>
      <c r="L59" s="33">
        <f t="shared" si="75"/>
        <v>1.3198446950736962</v>
      </c>
      <c r="M59" s="33">
        <f t="shared" si="75"/>
        <v>1.2549458809790011</v>
      </c>
      <c r="N59" s="33">
        <f t="shared" si="75"/>
        <v>1.2298547643017814</v>
      </c>
      <c r="O59" s="33">
        <f t="shared" si="75"/>
        <v>1.2271528411935919</v>
      </c>
      <c r="P59" s="33">
        <f t="shared" si="75"/>
        <v>1.0859240490091011</v>
      </c>
      <c r="Q59" s="33">
        <f t="shared" si="75"/>
        <v>1.0227308587357058</v>
      </c>
      <c r="R59" s="33">
        <f t="shared" si="75"/>
        <v>0.9686614046802049</v>
      </c>
      <c r="S59" s="33">
        <f t="shared" si="75"/>
        <v>0.90986807926990565</v>
      </c>
      <c r="T59" s="33">
        <f t="shared" si="75"/>
        <v>0.90986707926990107</v>
      </c>
      <c r="U59" s="33">
        <f t="shared" si="75"/>
        <v>0.87128454190870031</v>
      </c>
      <c r="V59" s="33">
        <f t="shared" si="75"/>
        <v>0.83227473442810407</v>
      </c>
      <c r="W59" s="33">
        <f t="shared" si="75"/>
        <v>0.79335718426800383</v>
      </c>
      <c r="X59" s="33">
        <f t="shared" si="75"/>
        <v>0.75236806000500422</v>
      </c>
      <c r="Y59" s="33">
        <f t="shared" si="75"/>
        <v>0.71032511781680086</v>
      </c>
      <c r="Z59" s="33">
        <f t="shared" si="75"/>
        <v>0.67090080418880405</v>
      </c>
      <c r="AA59" s="33">
        <f t="shared" si="75"/>
        <v>0.5833031301004965</v>
      </c>
      <c r="AB59" s="33">
        <f t="shared" si="75"/>
        <v>0.5640750447659002</v>
      </c>
      <c r="AC59" s="33">
        <f t="shared" si="75"/>
        <v>0.56407404476590273</v>
      </c>
      <c r="AD59" s="33"/>
      <c r="AE59" s="33">
        <f t="shared" si="75"/>
        <v>0.50042914754489942</v>
      </c>
      <c r="AF59" s="33">
        <f t="shared" si="75"/>
        <v>0.51519360075040055</v>
      </c>
      <c r="AG59" s="33">
        <f t="shared" si="75"/>
        <v>0.56467855854929638</v>
      </c>
      <c r="AH59" s="33">
        <f t="shared" si="75"/>
        <v>0.59465202524680194</v>
      </c>
      <c r="AI59" s="33">
        <f t="shared" si="75"/>
        <v>0.55782686079960087</v>
      </c>
      <c r="AJ59" s="33">
        <f t="shared" si="75"/>
        <v>0.54993259299389763</v>
      </c>
      <c r="AK59" s="33">
        <f t="shared" si="75"/>
        <v>0.42995486393490268</v>
      </c>
      <c r="AL59" s="33">
        <f t="shared" si="75"/>
        <v>0.40282243297669851</v>
      </c>
      <c r="AM59" s="33">
        <f t="shared" si="75"/>
        <v>0.30928822657670452</v>
      </c>
      <c r="AN59" s="33">
        <f t="shared" si="75"/>
        <v>0.30928722657669994</v>
      </c>
      <c r="AO59" s="33">
        <f t="shared" si="75"/>
        <v>0.30928622657670246</v>
      </c>
      <c r="AP59" s="33">
        <f t="shared" si="75"/>
        <v>0.30012982662134863</v>
      </c>
      <c r="AQ59" s="33">
        <f t="shared" si="75"/>
        <v>0.12039969335609868</v>
      </c>
      <c r="AR59" s="33">
        <f t="shared" si="75"/>
        <v>-2.6583329999980827E-2</v>
      </c>
      <c r="AS59" s="33">
        <f t="shared" si="75"/>
        <v>-0.12658332999998495</v>
      </c>
      <c r="AT59" s="33">
        <f t="shared" si="75"/>
        <v>-0.21510102187029645</v>
      </c>
      <c r="AU59" s="33">
        <f t="shared" si="75"/>
        <v>-0.26514414267199982</v>
      </c>
      <c r="AV59" s="33">
        <f t="shared" si="75"/>
        <v>-0.41080772632859919</v>
      </c>
      <c r="AW59" s="33">
        <f t="shared" si="75"/>
        <v>-0.5510103595937963</v>
      </c>
      <c r="AX59" s="33">
        <f t="shared" si="75"/>
        <v>-0.69658332999999473</v>
      </c>
      <c r="AY59" s="33">
        <f t="shared" si="75"/>
        <v>-0.6965843299999942</v>
      </c>
      <c r="AZ59" s="33">
        <f t="shared" ref="AZ59:BC59" si="76">MEDIAN(AZ36:AZ58)</f>
        <v>-0.71658332999999508</v>
      </c>
      <c r="BA59" s="33">
        <f t="shared" si="76"/>
        <v>-0.79658332999998493</v>
      </c>
      <c r="BB59" s="33">
        <f t="shared" si="76"/>
        <v>-0.79658432999998552</v>
      </c>
      <c r="BC59" s="33">
        <f t="shared" si="76"/>
        <v>-0.79658532999998466</v>
      </c>
    </row>
    <row r="60" spans="1:55" x14ac:dyDescent="0.3">
      <c r="A60" s="27"/>
    </row>
  </sheetData>
  <mergeCells count="4">
    <mergeCell ref="D3:AC3"/>
    <mergeCell ref="D34:AC34"/>
    <mergeCell ref="AE3:BC3"/>
    <mergeCell ref="AE34:BC34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7143-FB99-4433-AF5A-D27034347ECB}">
  <dimension ref="A1:H9"/>
  <sheetViews>
    <sheetView workbookViewId="0">
      <selection activeCell="D32" sqref="D32"/>
    </sheetView>
  </sheetViews>
  <sheetFormatPr baseColWidth="10" defaultRowHeight="14.4" x14ac:dyDescent="0.3"/>
  <cols>
    <col min="1" max="1" width="37.6640625" bestFit="1" customWidth="1"/>
    <col min="2" max="2" width="26" bestFit="1" customWidth="1"/>
    <col min="3" max="3" width="25.77734375" bestFit="1" customWidth="1"/>
    <col min="4" max="4" width="26.77734375" bestFit="1" customWidth="1"/>
    <col min="5" max="5" width="8.77734375" bestFit="1" customWidth="1"/>
    <col min="6" max="6" width="7.5546875" bestFit="1" customWidth="1"/>
    <col min="8" max="8" width="30.77734375" bestFit="1" customWidth="1"/>
  </cols>
  <sheetData>
    <row r="1" spans="1:8" x14ac:dyDescent="0.3">
      <c r="A1" s="80" t="s">
        <v>78</v>
      </c>
      <c r="B1" s="80" t="s">
        <v>79</v>
      </c>
      <c r="C1" s="80" t="s">
        <v>80</v>
      </c>
      <c r="D1" s="80" t="s">
        <v>81</v>
      </c>
      <c r="E1" s="80" t="s">
        <v>82</v>
      </c>
      <c r="F1" s="80" t="s">
        <v>83</v>
      </c>
      <c r="G1" s="80" t="s">
        <v>84</v>
      </c>
      <c r="H1" s="80" t="s">
        <v>85</v>
      </c>
    </row>
    <row r="2" spans="1:8" x14ac:dyDescent="0.3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</row>
    <row r="3" spans="1:8" x14ac:dyDescent="0.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91</v>
      </c>
      <c r="G3" t="s">
        <v>99</v>
      </c>
      <c r="H3" t="s">
        <v>93</v>
      </c>
    </row>
    <row r="4" spans="1:8" x14ac:dyDescent="0.3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</row>
    <row r="5" spans="1:8" x14ac:dyDescent="0.3">
      <c r="A5" t="s">
        <v>108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</row>
    <row r="6" spans="1:8" x14ac:dyDescent="0.3">
      <c r="A6" t="s">
        <v>116</v>
      </c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</row>
    <row r="7" spans="1:8" x14ac:dyDescent="0.3">
      <c r="A7" t="s">
        <v>124</v>
      </c>
      <c r="B7" t="s">
        <v>125</v>
      </c>
      <c r="C7" t="s">
        <v>126</v>
      </c>
      <c r="D7" t="s">
        <v>127</v>
      </c>
      <c r="E7" t="s">
        <v>128</v>
      </c>
      <c r="F7" t="s">
        <v>129</v>
      </c>
      <c r="G7" t="s">
        <v>130</v>
      </c>
      <c r="H7" t="s">
        <v>123</v>
      </c>
    </row>
    <row r="8" spans="1:8" x14ac:dyDescent="0.3">
      <c r="A8" t="s">
        <v>131</v>
      </c>
      <c r="B8" t="s">
        <v>132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</row>
    <row r="9" spans="1:8" x14ac:dyDescent="0.3">
      <c r="A9" t="s">
        <v>139</v>
      </c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All Data </vt:lpstr>
      <vt:lpstr>Results</vt:lpstr>
      <vt:lpstr>Table 1</vt:lpstr>
      <vt:lpstr>Table 2 - Body Mass % Hydro</vt:lpstr>
      <vt:lpstr>T° Day Off &amp; Cosonor</vt:lpstr>
      <vt:lpstr>AM PM Tcore</vt:lpstr>
      <vt:lpstr>Core temp from rest to 40 min</vt:lpstr>
      <vt:lpstr>Slope 0-40 min</vt:lpstr>
      <vt:lpstr>Recovery</vt:lpstr>
      <vt:lpstr>Skin T° AM-PM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Mauvieux</dc:creator>
  <cp:lastModifiedBy>Benoit Mauvieux</cp:lastModifiedBy>
  <dcterms:created xsi:type="dcterms:W3CDTF">2025-09-29T14:54:40Z</dcterms:created>
  <dcterms:modified xsi:type="dcterms:W3CDTF">2025-10-26T16:13:27Z</dcterms:modified>
</cp:coreProperties>
</file>